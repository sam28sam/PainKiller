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Location Tiers" sheetId="2" state="visible" r:id="rId4"/>
    <sheet name="SKU Data" sheetId="3" state="visible" r:id="rId5"/>
    <sheet name="Mismatch Repor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<sst xmlns="http://schemas.openxmlformats.org/spreadsheetml/2006/main" count="88" uniqueCount="81">
  <si>
    <t xml:space="preserve">Slotting Optimisation Matrix</t>
  </si>
  <si>
    <t xml:space="preserve">PainKiller Consulting — Operations Toolkit</t>
  </si>
  <si>
    <t xml:space="preserve">WHAT THIS DOES</t>
  </si>
  <si>
    <t xml:space="preserve">Maps product velocity (how often a SKU is picked) against current storage location accessibility.</t>
  </si>
  <si>
    <t xml:space="preserve">Identifies mismatches — high-velocity items stored in low-accessibility locations, or vice versa.</t>
  </si>
  <si>
    <t xml:space="preserve">This mismatch is the single biggest driver of wasted pick travel time in most warehouses.</t>
  </si>
  <si>
    <t xml:space="preserve">HOW TO USE</t>
  </si>
  <si>
    <t xml:space="preserve">1.  Enter your SKUs into the SKU Data sheet with their current location and pick frequency (last 30 days).</t>
  </si>
  <si>
    <t xml:space="preserve">2.  Assign each location a tier (A/B/C) on the Location Tiers sheet based on accessibility from the pick start point.</t>
  </si>
  <si>
    <t xml:space="preserve">3.  The Mismatch Report sheet will flag SKUs that should be reslotted, ordered by impact.</t>
  </si>
  <si>
    <t xml:space="preserve">4.  Use Action Priority column to triage: HIGH = reslot first; MEDIUM = batch with next reslotting cycle; LOW = ignore for now.</t>
  </si>
  <si>
    <t xml:space="preserve">THE PRINCIPLE</t>
  </si>
  <si>
    <t xml:space="preserve">80/20 holds in almost every warehouse: 20% of SKUs account for ~80% of picks.</t>
  </si>
  <si>
    <t xml:space="preserve">Those 20% should be in your Tier A locations — closest to the pick path start, at ergonomic height.</t>
  </si>
  <si>
    <t xml:space="preserve">If they're not, every shift loses time. Multiply across days, weeks, pickers — the cost is significant.</t>
  </si>
  <si>
    <t xml:space="preserve">Copyright © PainKiller Consulting Ltd. For use within the licensee organisation.</t>
  </si>
  <si>
    <t xml:space="preserve">Location Tier Definitions</t>
  </si>
  <si>
    <t xml:space="preserve">Define which locations qualify as Tier A (closest), B (mid), and C (furthest).</t>
  </si>
  <si>
    <t xml:space="preserve">Tier</t>
  </si>
  <si>
    <t xml:space="preserve">Definition</t>
  </si>
  <si>
    <t xml:space="preserve">Typical example</t>
  </si>
  <si>
    <t xml:space="preserve">Target SKU velocity</t>
  </si>
  <si>
    <t xml:space="preserve">A</t>
  </si>
  <si>
    <t xml:space="preserve">Highest accessibility. Within 10m of pick start, golden zone height (knee–shoulder).</t>
  </si>
  <si>
    <t xml:space="preserve">Aisle 1 &amp; 2, ground &amp; mid levels</t>
  </si>
  <si>
    <t xml:space="preserve">Top 20% by pick frequency</t>
  </si>
  <si>
    <t xml:space="preserve">B</t>
  </si>
  <si>
    <t xml:space="preserve">Mid accessibility. 10–30m from pick start, or A-zone but at floor or top level.</t>
  </si>
  <si>
    <t xml:space="preserve">Aisles 3–5, all levels in 1 &amp; 2 top</t>
  </si>
  <si>
    <t xml:space="preserve">Middle 50–60% by frequency</t>
  </si>
  <si>
    <t xml:space="preserve">C</t>
  </si>
  <si>
    <t xml:space="preserve">Lowest accessibility. &gt;30m from pick start, mezzanine, or high-level requiring MHE.</t>
  </si>
  <si>
    <t xml:space="preserve">Aisles 6+, mezzanines, top racking</t>
  </si>
  <si>
    <t xml:space="preserve">Bottom 20–30% (slow movers)</t>
  </si>
  <si>
    <t xml:space="preserve">SKU Master Data</t>
  </si>
  <si>
    <t xml:space="preserve">Total picks:</t>
  </si>
  <si>
    <t xml:space="preserve">One row per SKU. Pick frequency = number of pick lines (or units) over the period.</t>
  </si>
  <si>
    <t xml:space="preserve">SKU Code</t>
  </si>
  <si>
    <t xml:space="preserve">Description</t>
  </si>
  <si>
    <t xml:space="preserve">Current Location</t>
  </si>
  <si>
    <t xml:space="preserve">Current Tier</t>
  </si>
  <si>
    <t xml:space="preserve">Picks (30 days)</t>
  </si>
  <si>
    <t xml:space="preserve">% of Total Picks</t>
  </si>
  <si>
    <t xml:space="preserve">Velocity Class</t>
  </si>
  <si>
    <t xml:space="preserve">Recommended Tier</t>
  </si>
  <si>
    <t xml:space="preserve">Match?</t>
  </si>
  <si>
    <t xml:space="preserve">Action Priority</t>
  </si>
  <si>
    <t xml:space="preserve">SKU-0001</t>
  </si>
  <si>
    <t xml:space="preserve">Fast mover example</t>
  </si>
  <si>
    <t xml:space="preserve">C-12-04</t>
  </si>
  <si>
    <t xml:space="preserve">SKU-0002</t>
  </si>
  <si>
    <t xml:space="preserve">Mid mover example</t>
  </si>
  <si>
    <t xml:space="preserve">A-02-03</t>
  </si>
  <si>
    <t xml:space="preserve">SKU-0003</t>
  </si>
  <si>
    <t xml:space="preserve">Slow mover example</t>
  </si>
  <si>
    <t xml:space="preserve">A-01-02</t>
  </si>
  <si>
    <t xml:space="preserve">SKU-0004</t>
  </si>
  <si>
    <t xml:space="preserve">A-01-01</t>
  </si>
  <si>
    <t xml:space="preserve">SKU-0005</t>
  </si>
  <si>
    <t xml:space="preserve">B-04-05</t>
  </si>
  <si>
    <t xml:space="preserve">Mismatch Summary</t>
  </si>
  <si>
    <t xml:space="preserve">Counts of SKUs flagged for reslotting, by priority.</t>
  </si>
  <si>
    <t xml:space="preserve">By Priority</t>
  </si>
  <si>
    <t xml:space="preserve">Priority</t>
  </si>
  <si>
    <t xml:space="preserve">SKU Count</t>
  </si>
  <si>
    <t xml:space="preserve">% of Picks Affected</t>
  </si>
  <si>
    <t xml:space="preserve">Recommended Action</t>
  </si>
  <si>
    <t xml:space="preserve">HIGH</t>
  </si>
  <si>
    <t xml:space="preserve">Reslot in next available window. Each one is costing the operation pick time daily.</t>
  </si>
  <si>
    <t xml:space="preserve">MEDIUM</t>
  </si>
  <si>
    <t xml:space="preserve">Include in next planned slotting review. Not urgent but should not be left indefinitely.</t>
  </si>
  <si>
    <t xml:space="preserve">LOW</t>
  </si>
  <si>
    <t xml:space="preserve">Monitor. May correct itself as velocity changes. Do not consume time reslotting these.</t>
  </si>
  <si>
    <t xml:space="preserve">By Velocity Class</t>
  </si>
  <si>
    <t xml:space="preserve">Velocity</t>
  </si>
  <si>
    <t xml:space="preserve">Total SKUs</t>
  </si>
  <si>
    <t xml:space="preserve">Total Picks</t>
  </si>
  <si>
    <t xml:space="preserve">Avg Picks/SKU</t>
  </si>
  <si>
    <t xml:space="preserve">Fast</t>
  </si>
  <si>
    <t xml:space="preserve">Mid</t>
  </si>
  <si>
    <t xml:space="preserve">Slow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</si>
</sst>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1A18"/>
      <name val="Arial"/>
      <family val="0"/>
      <charset val="1"/>
    </font>
    <font>
      <i val="true"/>
      <sz val="11"/>
      <color rgb="FF8A8A84"/>
      <name val="Arial"/>
      <family val="0"/>
      <charset val="1"/>
    </font>
    <font>
      <b val="true"/>
      <sz val="9"/>
      <color rgb="FFC0392B"/>
      <name val="Arial"/>
      <family val="0"/>
      <charset val="1"/>
    </font>
    <font>
      <sz val="10"/>
      <color rgb="FF4A4A46"/>
      <name val="Arial"/>
      <family val="0"/>
      <charset val="1"/>
    </font>
    <font>
      <sz val="9"/>
      <color rgb="FF8A8A8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C0392B"/>
      <name val="Arial"/>
      <family val="0"/>
      <charset val="1"/>
    </font>
    <font>
      <b val="true"/>
      <sz val="10"/>
      <color rgb="FF1A1A18"/>
      <name val="Arial"/>
      <family val="0"/>
      <charset val="1"/>
    </font>
    <font>
      <b val="true"/>
      <sz val="11"/>
      <color rgb="FFC0392B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1A18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5EAE9"/>
        </patternFill>
      </fill>
    </dxf>
    <dxf>
      <fill>
        <patternFill>
          <bgColor rgb="FFFFF3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A84"/>
      <rgbColor rgb="FF9999FF"/>
      <rgbColor rgb="FF993366"/>
      <rgbColor rgb="FFFFF3E0"/>
      <rgbColor rgb="FFF5EAE9"/>
      <rgbColor rgb="FF660066"/>
      <rgbColor rgb="FFFF8080"/>
      <rgbColor rgb="FF0066CC"/>
      <rgbColor rgb="FFDDDD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18"/>
      <rgbColor rgb="FFC0392B"/>
      <rgbColor rgb="FF993366"/>
      <rgbColor rgb="FF333399"/>
      <rgbColor rgb="FF4A4A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5" t="s">
        <v>7</v>
      </c>
    </row>
    <row r="12" customFormat="false" ht="15" hidden="false" customHeight="false" outlineLevel="0" collapsed="false">
      <c r="B12" s="5" t="s">
        <v>8</v>
      </c>
    </row>
    <row r="13" customFormat="false" ht="15" hidden="false" customHeight="false" outlineLevel="0" collapsed="false">
      <c r="B13" s="5" t="s">
        <v>9</v>
      </c>
    </row>
    <row r="14" customFormat="false" ht="23.85" hidden="false" customHeight="false" outlineLevel="0" collapsed="false">
      <c r="B14" s="5" t="s">
        <v>10</v>
      </c>
    </row>
    <row r="17" customFormat="false" ht="15" hidden="false" customHeight="false" outlineLevel="0" collapsed="false">
      <c r="B17" s="3" t="s">
        <v>11</v>
      </c>
    </row>
    <row r="18" customFormat="false" ht="15" hidden="false" customHeight="false" outlineLevel="0" collapsed="false">
      <c r="B18" s="4" t="s">
        <v>12</v>
      </c>
    </row>
    <row r="19" customFormat="false" ht="15" hidden="false" customHeight="false" outlineLevel="0" collapsed="false">
      <c r="B19" s="4" t="s">
        <v>13</v>
      </c>
    </row>
    <row r="20" customFormat="false" ht="15" hidden="false" customHeight="false" outlineLevel="0" collapsed="false">
      <c r="B20" s="4" t="s">
        <v>14</v>
      </c>
    </row>
    <row r="23" customFormat="false" ht="15" hidden="false" customHeight="false" outlineLevel="0" collapsed="false">
      <c r="B23" s="6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60"/>
    <col collapsed="false" customWidth="true" hidden="false" outlineLevel="0" max="4" min="4" style="0" width="32"/>
    <col collapsed="false" customWidth="true" hidden="false" outlineLevel="0" max="5" min="5" style="0" width="28"/>
  </cols>
  <sheetData>
    <row r="2" customFormat="false" ht="22.05" hidden="false" customHeight="false" outlineLevel="0" collapsed="false">
      <c r="B2" s="1" t="s">
        <v>16</v>
      </c>
    </row>
    <row r="3" customFormat="false" ht="15" hidden="false" customHeight="false" outlineLevel="0" collapsed="false">
      <c r="B3" s="2" t="s">
        <v>17</v>
      </c>
    </row>
    <row r="5" customFormat="false" ht="15" hidden="false" customHeight="false" outlineLevel="0" collapsed="false">
      <c r="B5" s="7" t="s">
        <v>18</v>
      </c>
      <c r="C5" s="7" t="s">
        <v>19</v>
      </c>
      <c r="D5" s="7" t="s">
        <v>20</v>
      </c>
      <c r="E5" s="7" t="s">
        <v>21</v>
      </c>
    </row>
    <row r="6" customFormat="false" ht="37.5" hidden="false" customHeight="true" outlineLevel="0" collapsed="false">
      <c r="B6" s="8" t="s">
        <v>22</v>
      </c>
      <c r="C6" s="9" t="s">
        <v>23</v>
      </c>
      <c r="D6" s="9" t="s">
        <v>24</v>
      </c>
      <c r="E6" s="9" t="s">
        <v>25</v>
      </c>
    </row>
    <row r="7" customFormat="false" ht="37.5" hidden="false" customHeight="true" outlineLevel="0" collapsed="false">
      <c r="B7" s="8" t="s">
        <v>26</v>
      </c>
      <c r="C7" s="9" t="s">
        <v>27</v>
      </c>
      <c r="D7" s="9" t="s">
        <v>28</v>
      </c>
      <c r="E7" s="9" t="s">
        <v>29</v>
      </c>
    </row>
    <row r="8" customFormat="false" ht="37.5" hidden="false" customHeight="true" outlineLevel="0" collapsed="false">
      <c r="B8" s="8" t="s">
        <v>30</v>
      </c>
      <c r="C8" s="9" t="s">
        <v>31</v>
      </c>
      <c r="D8" s="9" t="s">
        <v>32</v>
      </c>
      <c r="E8" s="9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7" min="6" style="0" width="14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1" min="11" style="0" width="14"/>
  </cols>
  <sheetData>
    <row r="2" customFormat="false" ht="22.05" hidden="false" customHeight="false" outlineLevel="0" collapsed="false">
      <c r="B2" s="1" t="s">
        <v>34</v>
      </c>
      <c r="G2" s="10" t="s">
        <v>35</v>
      </c>
      <c r="H2" s="11" t="n">
        <f aca="false">SUM(F6:F41)</f>
        <v>2348</v>
      </c>
    </row>
    <row r="3" customFormat="false" ht="15" hidden="false" customHeight="false" outlineLevel="0" collapsed="false">
      <c r="B3" s="2" t="s">
        <v>36</v>
      </c>
    </row>
    <row r="5" customFormat="false" ht="23.85" hidden="false" customHeight="false" outlineLevel="0" collapsed="false">
      <c r="B5" s="12" t="s">
        <v>37</v>
      </c>
      <c r="C5" s="12" t="s">
        <v>38</v>
      </c>
      <c r="D5" s="12" t="s">
        <v>39</v>
      </c>
      <c r="E5" s="12" t="s">
        <v>40</v>
      </c>
      <c r="F5" s="12" t="s">
        <v>41</v>
      </c>
      <c r="G5" s="12" t="s">
        <v>42</v>
      </c>
      <c r="H5" s="12" t="s">
        <v>43</v>
      </c>
      <c r="I5" s="12" t="s">
        <v>44</v>
      </c>
      <c r="J5" s="12" t="s">
        <v>45</v>
      </c>
      <c r="K5" s="12" t="s">
        <v>46</v>
      </c>
    </row>
    <row r="6" customFormat="false" ht="15" hidden="false" customHeight="false" outlineLevel="0" collapsed="false">
      <c r="B6" s="13" t="s">
        <v>47</v>
      </c>
      <c r="C6" s="14" t="s">
        <v>48</v>
      </c>
      <c r="D6" s="14" t="s">
        <v>49</v>
      </c>
      <c r="E6" s="14" t="s">
        <v>30</v>
      </c>
      <c r="F6" s="14" t="n">
        <v>850</v>
      </c>
      <c r="G6" s="15" t="n">
        <f aca="false">IFERROR(F6/$H$2,0)</f>
        <v>0.362010221465077</v>
      </c>
      <c r="H6" s="14" t="str">
        <f aca="false">IF(G6&gt;=0.005,"Fast",IF(G6&gt;=0.001,"Mid","Slow"))</f>
        <v>Fast</v>
      </c>
      <c r="I6" s="14" t="str">
        <f aca="false">IF(H6="Fast","A",IF(H6="Mid","B","C"))</f>
        <v>A</v>
      </c>
      <c r="J6" s="16" t="str">
        <f aca="false">IF(E6=I6,"✓","✗")</f>
        <v>✗</v>
      </c>
      <c r="K6" s="14" t="str">
        <f aca="false">IF(AND(H6="Fast",E6="C"),"HIGH",IF(OR(AND(H6="Fast",E6="B"),AND(H6="Mid",E6="C")),"MEDIUM","LOW"))</f>
        <v>HIGH</v>
      </c>
    </row>
    <row r="7" customFormat="false" ht="15" hidden="false" customHeight="false" outlineLevel="0" collapsed="false">
      <c r="B7" s="13" t="s">
        <v>50</v>
      </c>
      <c r="C7" s="14" t="s">
        <v>51</v>
      </c>
      <c r="D7" s="14" t="s">
        <v>52</v>
      </c>
      <c r="E7" s="14" t="s">
        <v>22</v>
      </c>
      <c r="F7" s="14" t="n">
        <v>220</v>
      </c>
      <c r="G7" s="15" t="n">
        <f aca="false">IFERROR(F7/$H$2,0)</f>
        <v>0.0936967632027257</v>
      </c>
      <c r="H7" s="14" t="str">
        <f aca="false">IF(G7&gt;=0.005,"Fast",IF(G7&gt;=0.001,"Mid","Slow"))</f>
        <v>Fast</v>
      </c>
      <c r="I7" s="14" t="str">
        <f aca="false">IF(H7="Fast","A",IF(H7="Mid","B","C"))</f>
        <v>A</v>
      </c>
      <c r="J7" s="16" t="str">
        <f aca="false">IF(E7=I7,"✓","✗")</f>
        <v>✓</v>
      </c>
      <c r="K7" s="14" t="str">
        <f aca="false">IF(AND(H7="Fast",E7="C"),"HIGH",IF(OR(AND(H7="Fast",E7="B"),AND(H7="Mid",E7="C")),"MEDIUM","LOW"))</f>
        <v>LOW</v>
      </c>
    </row>
    <row r="8" customFormat="false" ht="15" hidden="false" customHeight="false" outlineLevel="0" collapsed="false">
      <c r="B8" s="13" t="s">
        <v>53</v>
      </c>
      <c r="C8" s="14" t="s">
        <v>54</v>
      </c>
      <c r="D8" s="14" t="s">
        <v>55</v>
      </c>
      <c r="E8" s="14" t="s">
        <v>22</v>
      </c>
      <c r="F8" s="14" t="n">
        <v>18</v>
      </c>
      <c r="G8" s="15" t="n">
        <f aca="false">IFERROR(F8/$H$2,0)</f>
        <v>0.00766609880749574</v>
      </c>
      <c r="H8" s="14" t="str">
        <f aca="false">IF(G8&gt;=0.005,"Fast",IF(G8&gt;=0.001,"Mid","Slow"))</f>
        <v>Fast</v>
      </c>
      <c r="I8" s="14" t="str">
        <f aca="false">IF(H8="Fast","A",IF(H8="Mid","B","C"))</f>
        <v>A</v>
      </c>
      <c r="J8" s="16" t="str">
        <f aca="false">IF(E8=I8,"✓","✗")</f>
        <v>✓</v>
      </c>
      <c r="K8" s="14" t="str">
        <f aca="false">IF(AND(H8="Fast",E8="C"),"HIGH",IF(OR(AND(H8="Fast",E8="B"),AND(H8="Mid",E8="C")),"MEDIUM","LOW"))</f>
        <v>LOW</v>
      </c>
    </row>
    <row r="9" customFormat="false" ht="15" hidden="false" customHeight="false" outlineLevel="0" collapsed="false">
      <c r="B9" s="13" t="s">
        <v>56</v>
      </c>
      <c r="C9" s="14" t="s">
        <v>48</v>
      </c>
      <c r="D9" s="14" t="s">
        <v>57</v>
      </c>
      <c r="E9" s="14" t="s">
        <v>22</v>
      </c>
      <c r="F9" s="14" t="n">
        <v>920</v>
      </c>
      <c r="G9" s="15" t="n">
        <f aca="false">IFERROR(F9/$H$2,0)</f>
        <v>0.391822827938671</v>
      </c>
      <c r="H9" s="14" t="str">
        <f aca="false">IF(G9&gt;=0.005,"Fast",IF(G9&gt;=0.001,"Mid","Slow"))</f>
        <v>Fast</v>
      </c>
      <c r="I9" s="14" t="str">
        <f aca="false">IF(H9="Fast","A",IF(H9="Mid","B","C"))</f>
        <v>A</v>
      </c>
      <c r="J9" s="16" t="str">
        <f aca="false">IF(E9=I9,"✓","✗")</f>
        <v>✓</v>
      </c>
      <c r="K9" s="14" t="str">
        <f aca="false">IF(AND(H9="Fast",E9="C"),"HIGH",IF(OR(AND(H9="Fast",E9="B"),AND(H9="Mid",E9="C")),"MEDIUM","LOW"))</f>
        <v>LOW</v>
      </c>
    </row>
    <row r="10" customFormat="false" ht="15" hidden="false" customHeight="false" outlineLevel="0" collapsed="false">
      <c r="B10" s="13" t="s">
        <v>58</v>
      </c>
      <c r="C10" s="14" t="s">
        <v>51</v>
      </c>
      <c r="D10" s="14" t="s">
        <v>59</v>
      </c>
      <c r="E10" s="14" t="s">
        <v>26</v>
      </c>
      <c r="F10" s="14" t="n">
        <v>340</v>
      </c>
      <c r="G10" s="15" t="n">
        <f aca="false">IFERROR(F10/$H$2,0)</f>
        <v>0.144804088586031</v>
      </c>
      <c r="H10" s="14" t="str">
        <f aca="false">IF(G10&gt;=0.005,"Fast",IF(G10&gt;=0.001,"Mid","Slow"))</f>
        <v>Fast</v>
      </c>
      <c r="I10" s="14" t="str">
        <f aca="false">IF(H10="Fast","A",IF(H10="Mid","B","C"))</f>
        <v>A</v>
      </c>
      <c r="J10" s="16" t="str">
        <f aca="false">IF(E10=I10,"✓","✗")</f>
        <v>✗</v>
      </c>
      <c r="K10" s="14" t="str">
        <f aca="false">IF(AND(H10="Fast",E10="C"),"HIGH",IF(OR(AND(H10="Fast",E10="B"),AND(H10="Mid",E10="C")),"MEDIUM","LOW"))</f>
        <v>MEDIUM</v>
      </c>
    </row>
    <row r="11" customFormat="false" ht="15" hidden="false" customHeight="false" outlineLevel="0" collapsed="false">
      <c r="B11" s="17"/>
      <c r="C11" s="17"/>
      <c r="D11" s="17"/>
      <c r="E11" s="17"/>
      <c r="F11" s="17"/>
      <c r="G11" s="18" t="n">
        <f aca="false">IFERROR(F11/$H$2,0)</f>
        <v>0</v>
      </c>
      <c r="H11" s="17" t="str">
        <f aca="false">IF(F11="","",IF(G11&gt;=0.005,"Fast",IF(G11&gt;=0.001,"Mid","Slow")))</f>
        <v/>
      </c>
      <c r="I11" s="17" t="str">
        <f aca="false">IF(H11="","",IF(H11="Fast","A",IF(H11="Mid","B","C")))</f>
        <v/>
      </c>
      <c r="J11" s="19" t="str">
        <f aca="false">IF(OR(E11="",I11=""),"",IF(E11=I11,"✓","✗"))</f>
        <v/>
      </c>
      <c r="K11" s="17" t="str">
        <f aca="false">IF(H11="","",IF(AND(H11="Fast",E11="C"),"HIGH",IF(OR(AND(H11="Fast",E11="B"),AND(H11="Mid",E11="C")),"MEDIUM","LOW")))</f>
        <v/>
      </c>
    </row>
    <row r="12" customFormat="false" ht="15" hidden="false" customHeight="false" outlineLevel="0" collapsed="false">
      <c r="B12" s="17"/>
      <c r="C12" s="17"/>
      <c r="D12" s="17"/>
      <c r="E12" s="17"/>
      <c r="F12" s="17"/>
      <c r="G12" s="18" t="n">
        <f aca="false">IFERROR(F12/$H$2,0)</f>
        <v>0</v>
      </c>
      <c r="H12" s="17" t="str">
        <f aca="false">IF(F12="","",IF(G12&gt;=0.005,"Fast",IF(G12&gt;=0.001,"Mid","Slow")))</f>
        <v/>
      </c>
      <c r="I12" s="17" t="str">
        <f aca="false">IF(H12="","",IF(H12="Fast","A",IF(H12="Mid","B","C")))</f>
        <v/>
      </c>
      <c r="J12" s="19" t="str">
        <f aca="false">IF(OR(E12="",I12=""),"",IF(E12=I12,"✓","✗"))</f>
        <v/>
      </c>
      <c r="K12" s="17" t="str">
        <f aca="false">IF(H12="","",IF(AND(H12="Fast",E12="C"),"HIGH",IF(OR(AND(H12="Fast",E12="B"),AND(H12="Mid",E12="C")),"MEDIUM","LOW")))</f>
        <v/>
      </c>
    </row>
    <row r="13" customFormat="false" ht="15" hidden="false" customHeight="false" outlineLevel="0" collapsed="false">
      <c r="B13" s="17"/>
      <c r="C13" s="17"/>
      <c r="D13" s="17"/>
      <c r="E13" s="17"/>
      <c r="F13" s="17"/>
      <c r="G13" s="18" t="n">
        <f aca="false">IFERROR(F13/$H$2,0)</f>
        <v>0</v>
      </c>
      <c r="H13" s="17" t="str">
        <f aca="false">IF(F13="","",IF(G13&gt;=0.005,"Fast",IF(G13&gt;=0.001,"Mid","Slow")))</f>
        <v/>
      </c>
      <c r="I13" s="17" t="str">
        <f aca="false">IF(H13="","",IF(H13="Fast","A",IF(H13="Mid","B","C")))</f>
        <v/>
      </c>
      <c r="J13" s="19" t="str">
        <f aca="false">IF(OR(E13="",I13=""),"",IF(E13=I13,"✓","✗"))</f>
        <v/>
      </c>
      <c r="K13" s="17" t="str">
        <f aca="false">IF(H13="","",IF(AND(H13="Fast",E13="C"),"HIGH",IF(OR(AND(H13="Fast",E13="B"),AND(H13="Mid",E13="C")),"MEDIUM","LOW")))</f>
        <v/>
      </c>
    </row>
    <row r="14" customFormat="false" ht="15" hidden="false" customHeight="false" outlineLevel="0" collapsed="false">
      <c r="B14" s="17"/>
      <c r="C14" s="17"/>
      <c r="D14" s="17"/>
      <c r="E14" s="17"/>
      <c r="F14" s="17"/>
      <c r="G14" s="18" t="n">
        <f aca="false">IFERROR(F14/$H$2,0)</f>
        <v>0</v>
      </c>
      <c r="H14" s="17" t="str">
        <f aca="false">IF(F14="","",IF(G14&gt;=0.005,"Fast",IF(G14&gt;=0.001,"Mid","Slow")))</f>
        <v/>
      </c>
      <c r="I14" s="17" t="str">
        <f aca="false">IF(H14="","",IF(H14="Fast","A",IF(H14="Mid","B","C")))</f>
        <v/>
      </c>
      <c r="J14" s="19" t="str">
        <f aca="false">IF(OR(E14="",I14=""),"",IF(E14=I14,"✓","✗"))</f>
        <v/>
      </c>
      <c r="K14" s="17" t="str">
        <f aca="false">IF(H14="","",IF(AND(H14="Fast",E14="C"),"HIGH",IF(OR(AND(H14="Fast",E14="B"),AND(H14="Mid",E14="C")),"MEDIUM","LOW")))</f>
        <v/>
      </c>
    </row>
    <row r="15" customFormat="false" ht="15" hidden="false" customHeight="false" outlineLevel="0" collapsed="false">
      <c r="B15" s="17"/>
      <c r="C15" s="17"/>
      <c r="D15" s="17"/>
      <c r="E15" s="17"/>
      <c r="F15" s="17"/>
      <c r="G15" s="18" t="n">
        <f aca="false">IFERROR(F15/$H$2,0)</f>
        <v>0</v>
      </c>
      <c r="H15" s="17" t="str">
        <f aca="false">IF(F15="","",IF(G15&gt;=0.005,"Fast",IF(G15&gt;=0.001,"Mid","Slow")))</f>
        <v/>
      </c>
      <c r="I15" s="17" t="str">
        <f aca="false">IF(H15="","",IF(H15="Fast","A",IF(H15="Mid","B","C")))</f>
        <v/>
      </c>
      <c r="J15" s="19" t="str">
        <f aca="false">IF(OR(E15="",I15=""),"",IF(E15=I15,"✓","✗"))</f>
        <v/>
      </c>
      <c r="K15" s="17" t="str">
        <f aca="false">IF(H15="","",IF(AND(H15="Fast",E15="C"),"HIGH",IF(OR(AND(H15="Fast",E15="B"),AND(H15="Mid",E15="C")),"MEDIUM","LOW")))</f>
        <v/>
      </c>
    </row>
    <row r="16" customFormat="false" ht="15" hidden="false" customHeight="false" outlineLevel="0" collapsed="false">
      <c r="B16" s="17"/>
      <c r="C16" s="17"/>
      <c r="D16" s="17"/>
      <c r="E16" s="17"/>
      <c r="F16" s="17"/>
      <c r="G16" s="18" t="n">
        <f aca="false">IFERROR(F16/$H$2,0)</f>
        <v>0</v>
      </c>
      <c r="H16" s="17" t="str">
        <f aca="false">IF(F16="","",IF(G16&gt;=0.005,"Fast",IF(G16&gt;=0.001,"Mid","Slow")))</f>
        <v/>
      </c>
      <c r="I16" s="17" t="str">
        <f aca="false">IF(H16="","",IF(H16="Fast","A",IF(H16="Mid","B","C")))</f>
        <v/>
      </c>
      <c r="J16" s="19" t="str">
        <f aca="false">IF(OR(E16="",I16=""),"",IF(E16=I16,"✓","✗"))</f>
        <v/>
      </c>
      <c r="K16" s="17" t="str">
        <f aca="false">IF(H16="","",IF(AND(H16="Fast",E16="C"),"HIGH",IF(OR(AND(H16="Fast",E16="B"),AND(H16="Mid",E16="C")),"MEDIUM","LOW")))</f>
        <v/>
      </c>
    </row>
    <row r="17" customFormat="false" ht="15" hidden="false" customHeight="false" outlineLevel="0" collapsed="false">
      <c r="B17" s="17"/>
      <c r="C17" s="17"/>
      <c r="D17" s="17"/>
      <c r="E17" s="17"/>
      <c r="F17" s="17"/>
      <c r="G17" s="18" t="n">
        <f aca="false">IFERROR(F17/$H$2,0)</f>
        <v>0</v>
      </c>
      <c r="H17" s="17" t="str">
        <f aca="false">IF(F17="","",IF(G17&gt;=0.005,"Fast",IF(G17&gt;=0.001,"Mid","Slow")))</f>
        <v/>
      </c>
      <c r="I17" s="17" t="str">
        <f aca="false">IF(H17="","",IF(H17="Fast","A",IF(H17="Mid","B","C")))</f>
        <v/>
      </c>
      <c r="J17" s="19" t="str">
        <f aca="false">IF(OR(E17="",I17=""),"",IF(E17=I17,"✓","✗"))</f>
        <v/>
      </c>
      <c r="K17" s="17" t="str">
        <f aca="false">IF(H17="","",IF(AND(H17="Fast",E17="C"),"HIGH",IF(OR(AND(H17="Fast",E17="B"),AND(H17="Mid",E17="C")),"MEDIUM","LOW")))</f>
        <v/>
      </c>
    </row>
    <row r="18" customFormat="false" ht="15" hidden="false" customHeight="false" outlineLevel="0" collapsed="false">
      <c r="B18" s="17"/>
      <c r="C18" s="17"/>
      <c r="D18" s="17"/>
      <c r="E18" s="17"/>
      <c r="F18" s="17"/>
      <c r="G18" s="18" t="n">
        <f aca="false">IFERROR(F18/$H$2,0)</f>
        <v>0</v>
      </c>
      <c r="H18" s="17" t="str">
        <f aca="false">IF(F18="","",IF(G18&gt;=0.005,"Fast",IF(G18&gt;=0.001,"Mid","Slow")))</f>
        <v/>
      </c>
      <c r="I18" s="17" t="str">
        <f aca="false">IF(H18="","",IF(H18="Fast","A",IF(H18="Mid","B","C")))</f>
        <v/>
      </c>
      <c r="J18" s="19" t="str">
        <f aca="false">IF(OR(E18="",I18=""),"",IF(E18=I18,"✓","✗"))</f>
        <v/>
      </c>
      <c r="K18" s="17" t="str">
        <f aca="false">IF(H18="","",IF(AND(H18="Fast",E18="C"),"HIGH",IF(OR(AND(H18="Fast",E18="B"),AND(H18="Mid",E18="C")),"MEDIUM","LOW")))</f>
        <v/>
      </c>
    </row>
    <row r="19" customFormat="false" ht="15" hidden="false" customHeight="false" outlineLevel="0" collapsed="false">
      <c r="B19" s="17"/>
      <c r="C19" s="17"/>
      <c r="D19" s="17"/>
      <c r="E19" s="17"/>
      <c r="F19" s="17"/>
      <c r="G19" s="18" t="n">
        <f aca="false">IFERROR(F19/$H$2,0)</f>
        <v>0</v>
      </c>
      <c r="H19" s="17" t="str">
        <f aca="false">IF(F19="","",IF(G19&gt;=0.005,"Fast",IF(G19&gt;=0.001,"Mid","Slow")))</f>
        <v/>
      </c>
      <c r="I19" s="17" t="str">
        <f aca="false">IF(H19="","",IF(H19="Fast","A",IF(H19="Mid","B","C")))</f>
        <v/>
      </c>
      <c r="J19" s="19" t="str">
        <f aca="false">IF(OR(E19="",I19=""),"",IF(E19=I19,"✓","✗"))</f>
        <v/>
      </c>
      <c r="K19" s="17" t="str">
        <f aca="false">IF(H19="","",IF(AND(H19="Fast",E19="C"),"HIGH",IF(OR(AND(H19="Fast",E19="B"),AND(H19="Mid",E19="C")),"MEDIUM","LOW")))</f>
        <v/>
      </c>
    </row>
    <row r="20" customFormat="false" ht="15" hidden="false" customHeight="false" outlineLevel="0" collapsed="false">
      <c r="B20" s="17"/>
      <c r="C20" s="17"/>
      <c r="D20" s="17"/>
      <c r="E20" s="17"/>
      <c r="F20" s="17"/>
      <c r="G20" s="18" t="n">
        <f aca="false">IFERROR(F20/$H$2,0)</f>
        <v>0</v>
      </c>
      <c r="H20" s="17" t="str">
        <f aca="false">IF(F20="","",IF(G20&gt;=0.005,"Fast",IF(G20&gt;=0.001,"Mid","Slow")))</f>
        <v/>
      </c>
      <c r="I20" s="17" t="str">
        <f aca="false">IF(H20="","",IF(H20="Fast","A",IF(H20="Mid","B","C")))</f>
        <v/>
      </c>
      <c r="J20" s="19" t="str">
        <f aca="false">IF(OR(E20="",I20=""),"",IF(E20=I20,"✓","✗"))</f>
        <v/>
      </c>
      <c r="K20" s="17" t="str">
        <f aca="false">IF(H20="","",IF(AND(H20="Fast",E20="C"),"HIGH",IF(OR(AND(H20="Fast",E20="B"),AND(H20="Mid",E20="C")),"MEDIUM","LOW")))</f>
        <v/>
      </c>
    </row>
    <row r="21" customFormat="false" ht="15" hidden="false" customHeight="false" outlineLevel="0" collapsed="false">
      <c r="B21" s="17"/>
      <c r="C21" s="17"/>
      <c r="D21" s="17"/>
      <c r="E21" s="17"/>
      <c r="F21" s="17"/>
      <c r="G21" s="18" t="n">
        <f aca="false">IFERROR(F21/$H$2,0)</f>
        <v>0</v>
      </c>
      <c r="H21" s="17" t="str">
        <f aca="false">IF(F21="","",IF(G21&gt;=0.005,"Fast",IF(G21&gt;=0.001,"Mid","Slow")))</f>
        <v/>
      </c>
      <c r="I21" s="17" t="str">
        <f aca="false">IF(H21="","",IF(H21="Fast","A",IF(H21="Mid","B","C")))</f>
        <v/>
      </c>
      <c r="J21" s="19" t="str">
        <f aca="false">IF(OR(E21="",I21=""),"",IF(E21=I21,"✓","✗"))</f>
        <v/>
      </c>
      <c r="K21" s="17" t="str">
        <f aca="false">IF(H21="","",IF(AND(H21="Fast",E21="C"),"HIGH",IF(OR(AND(H21="Fast",E21="B"),AND(H21="Mid",E21="C")),"MEDIUM","LOW")))</f>
        <v/>
      </c>
    </row>
    <row r="22" customFormat="false" ht="15" hidden="false" customHeight="false" outlineLevel="0" collapsed="false">
      <c r="B22" s="17"/>
      <c r="C22" s="17"/>
      <c r="D22" s="17"/>
      <c r="E22" s="17"/>
      <c r="F22" s="17"/>
      <c r="G22" s="18" t="n">
        <f aca="false">IFERROR(F22/$H$2,0)</f>
        <v>0</v>
      </c>
      <c r="H22" s="17" t="str">
        <f aca="false">IF(F22="","",IF(G22&gt;=0.005,"Fast",IF(G22&gt;=0.001,"Mid","Slow")))</f>
        <v/>
      </c>
      <c r="I22" s="17" t="str">
        <f aca="false">IF(H22="","",IF(H22="Fast","A",IF(H22="Mid","B","C")))</f>
        <v/>
      </c>
      <c r="J22" s="19" t="str">
        <f aca="false">IF(OR(E22="",I22=""),"",IF(E22=I22,"✓","✗"))</f>
        <v/>
      </c>
      <c r="K22" s="17" t="str">
        <f aca="false">IF(H22="","",IF(AND(H22="Fast",E22="C"),"HIGH",IF(OR(AND(H22="Fast",E22="B"),AND(H22="Mid",E22="C")),"MEDIUM","LOW")))</f>
        <v/>
      </c>
    </row>
    <row r="23" customFormat="false" ht="15" hidden="false" customHeight="false" outlineLevel="0" collapsed="false">
      <c r="B23" s="17"/>
      <c r="C23" s="17"/>
      <c r="D23" s="17"/>
      <c r="E23" s="17"/>
      <c r="F23" s="17"/>
      <c r="G23" s="18" t="n">
        <f aca="false">IFERROR(F23/$H$2,0)</f>
        <v>0</v>
      </c>
      <c r="H23" s="17" t="str">
        <f aca="false">IF(F23="","",IF(G23&gt;=0.005,"Fast",IF(G23&gt;=0.001,"Mid","Slow")))</f>
        <v/>
      </c>
      <c r="I23" s="17" t="str">
        <f aca="false">IF(H23="","",IF(H23="Fast","A",IF(H23="Mid","B","C")))</f>
        <v/>
      </c>
      <c r="J23" s="19" t="str">
        <f aca="false">IF(OR(E23="",I23=""),"",IF(E23=I23,"✓","✗"))</f>
        <v/>
      </c>
      <c r="K23" s="17" t="str">
        <f aca="false">IF(H23="","",IF(AND(H23="Fast",E23="C"),"HIGH",IF(OR(AND(H23="Fast",E23="B"),AND(H23="Mid",E23="C")),"MEDIUM","LOW")))</f>
        <v/>
      </c>
    </row>
    <row r="24" customFormat="false" ht="15" hidden="false" customHeight="false" outlineLevel="0" collapsed="false">
      <c r="B24" s="17"/>
      <c r="C24" s="17"/>
      <c r="D24" s="17"/>
      <c r="E24" s="17"/>
      <c r="F24" s="17"/>
      <c r="G24" s="18" t="n">
        <f aca="false">IFERROR(F24/$H$2,0)</f>
        <v>0</v>
      </c>
      <c r="H24" s="17" t="str">
        <f aca="false">IF(F24="","",IF(G24&gt;=0.005,"Fast",IF(G24&gt;=0.001,"Mid","Slow")))</f>
        <v/>
      </c>
      <c r="I24" s="17" t="str">
        <f aca="false">IF(H24="","",IF(H24="Fast","A",IF(H24="Mid","B","C")))</f>
        <v/>
      </c>
      <c r="J24" s="19" t="str">
        <f aca="false">IF(OR(E24="",I24=""),"",IF(E24=I24,"✓","✗"))</f>
        <v/>
      </c>
      <c r="K24" s="17" t="str">
        <f aca="false">IF(H24="","",IF(AND(H24="Fast",E24="C"),"HIGH",IF(OR(AND(H24="Fast",E24="B"),AND(H24="Mid",E24="C")),"MEDIUM","LOW")))</f>
        <v/>
      </c>
    </row>
    <row r="25" customFormat="false" ht="15" hidden="false" customHeight="false" outlineLevel="0" collapsed="false">
      <c r="B25" s="17"/>
      <c r="C25" s="17"/>
      <c r="D25" s="17"/>
      <c r="E25" s="17"/>
      <c r="F25" s="17"/>
      <c r="G25" s="18" t="n">
        <f aca="false">IFERROR(F25/$H$2,0)</f>
        <v>0</v>
      </c>
      <c r="H25" s="17" t="str">
        <f aca="false">IF(F25="","",IF(G25&gt;=0.005,"Fast",IF(G25&gt;=0.001,"Mid","Slow")))</f>
        <v/>
      </c>
      <c r="I25" s="17" t="str">
        <f aca="false">IF(H25="","",IF(H25="Fast","A",IF(H25="Mid","B","C")))</f>
        <v/>
      </c>
      <c r="J25" s="19" t="str">
        <f aca="false">IF(OR(E25="",I25=""),"",IF(E25=I25,"✓","✗"))</f>
        <v/>
      </c>
      <c r="K25" s="17" t="str">
        <f aca="false">IF(H25="","",IF(AND(H25="Fast",E25="C"),"HIGH",IF(OR(AND(H25="Fast",E25="B"),AND(H25="Mid",E25="C")),"MEDIUM","LOW")))</f>
        <v/>
      </c>
    </row>
    <row r="26" customFormat="false" ht="15" hidden="false" customHeight="false" outlineLevel="0" collapsed="false">
      <c r="B26" s="17"/>
      <c r="C26" s="17"/>
      <c r="D26" s="17"/>
      <c r="E26" s="17"/>
      <c r="F26" s="17"/>
      <c r="G26" s="18" t="n">
        <f aca="false">IFERROR(F26/$H$2,0)</f>
        <v>0</v>
      </c>
      <c r="H26" s="17" t="str">
        <f aca="false">IF(F26="","",IF(G26&gt;=0.005,"Fast",IF(G26&gt;=0.001,"Mid","Slow")))</f>
        <v/>
      </c>
      <c r="I26" s="17" t="str">
        <f aca="false">IF(H26="","",IF(H26="Fast","A",IF(H26="Mid","B","C")))</f>
        <v/>
      </c>
      <c r="J26" s="19" t="str">
        <f aca="false">IF(OR(E26="",I26=""),"",IF(E26=I26,"✓","✗"))</f>
        <v/>
      </c>
      <c r="K26" s="17" t="str">
        <f aca="false">IF(H26="","",IF(AND(H26="Fast",E26="C"),"HIGH",IF(OR(AND(H26="Fast",E26="B"),AND(H26="Mid",E26="C")),"MEDIUM","LOW")))</f>
        <v/>
      </c>
    </row>
    <row r="27" customFormat="false" ht="15" hidden="false" customHeight="false" outlineLevel="0" collapsed="false">
      <c r="B27" s="17"/>
      <c r="C27" s="17"/>
      <c r="D27" s="17"/>
      <c r="E27" s="17"/>
      <c r="F27" s="17"/>
      <c r="G27" s="18" t="n">
        <f aca="false">IFERROR(F27/$H$2,0)</f>
        <v>0</v>
      </c>
      <c r="H27" s="17" t="str">
        <f aca="false">IF(F27="","",IF(G27&gt;=0.005,"Fast",IF(G27&gt;=0.001,"Mid","Slow")))</f>
        <v/>
      </c>
      <c r="I27" s="17" t="str">
        <f aca="false">IF(H27="","",IF(H27="Fast","A",IF(H27="Mid","B","C")))</f>
        <v/>
      </c>
      <c r="J27" s="19" t="str">
        <f aca="false">IF(OR(E27="",I27=""),"",IF(E27=I27,"✓","✗"))</f>
        <v/>
      </c>
      <c r="K27" s="17" t="str">
        <f aca="false">IF(H27="","",IF(AND(H27="Fast",E27="C"),"HIGH",IF(OR(AND(H27="Fast",E27="B"),AND(H27="Mid",E27="C")),"MEDIUM","LOW")))</f>
        <v/>
      </c>
    </row>
    <row r="28" customFormat="false" ht="15" hidden="false" customHeight="false" outlineLevel="0" collapsed="false">
      <c r="B28" s="17"/>
      <c r="C28" s="17"/>
      <c r="D28" s="17"/>
      <c r="E28" s="17"/>
      <c r="F28" s="17"/>
      <c r="G28" s="18" t="n">
        <f aca="false">IFERROR(F28/$H$2,0)</f>
        <v>0</v>
      </c>
      <c r="H28" s="17" t="str">
        <f aca="false">IF(F28="","",IF(G28&gt;=0.005,"Fast",IF(G28&gt;=0.001,"Mid","Slow")))</f>
        <v/>
      </c>
      <c r="I28" s="17" t="str">
        <f aca="false">IF(H28="","",IF(H28="Fast","A",IF(H28="Mid","B","C")))</f>
        <v/>
      </c>
      <c r="J28" s="19" t="str">
        <f aca="false">IF(OR(E28="",I28=""),"",IF(E28=I28,"✓","✗"))</f>
        <v/>
      </c>
      <c r="K28" s="17" t="str">
        <f aca="false">IF(H28="","",IF(AND(H28="Fast",E28="C"),"HIGH",IF(OR(AND(H28="Fast",E28="B"),AND(H28="Mid",E28="C")),"MEDIUM","LOW")))</f>
        <v/>
      </c>
    </row>
    <row r="29" customFormat="false" ht="15" hidden="false" customHeight="false" outlineLevel="0" collapsed="false">
      <c r="B29" s="17"/>
      <c r="C29" s="17"/>
      <c r="D29" s="17"/>
      <c r="E29" s="17"/>
      <c r="F29" s="17"/>
      <c r="G29" s="18" t="n">
        <f aca="false">IFERROR(F29/$H$2,0)</f>
        <v>0</v>
      </c>
      <c r="H29" s="17" t="str">
        <f aca="false">IF(F29="","",IF(G29&gt;=0.005,"Fast",IF(G29&gt;=0.001,"Mid","Slow")))</f>
        <v/>
      </c>
      <c r="I29" s="17" t="str">
        <f aca="false">IF(H29="","",IF(H29="Fast","A",IF(H29="Mid","B","C")))</f>
        <v/>
      </c>
      <c r="J29" s="19" t="str">
        <f aca="false">IF(OR(E29="",I29=""),"",IF(E29=I29,"✓","✗"))</f>
        <v/>
      </c>
      <c r="K29" s="17" t="str">
        <f aca="false">IF(H29="","",IF(AND(H29="Fast",E29="C"),"HIGH",IF(OR(AND(H29="Fast",E29="B"),AND(H29="Mid",E29="C")),"MEDIUM","LOW")))</f>
        <v/>
      </c>
    </row>
    <row r="30" customFormat="false" ht="15" hidden="false" customHeight="false" outlineLevel="0" collapsed="false">
      <c r="B30" s="17"/>
      <c r="C30" s="17"/>
      <c r="D30" s="17"/>
      <c r="E30" s="17"/>
      <c r="F30" s="17"/>
      <c r="G30" s="18" t="n">
        <f aca="false">IFERROR(F30/$H$2,0)</f>
        <v>0</v>
      </c>
      <c r="H30" s="17" t="str">
        <f aca="false">IF(F30="","",IF(G30&gt;=0.005,"Fast",IF(G30&gt;=0.001,"Mid","Slow")))</f>
        <v/>
      </c>
      <c r="I30" s="17" t="str">
        <f aca="false">IF(H30="","",IF(H30="Fast","A",IF(H30="Mid","B","C")))</f>
        <v/>
      </c>
      <c r="J30" s="19" t="str">
        <f aca="false">IF(OR(E30="",I30=""),"",IF(E30=I30,"✓","✗"))</f>
        <v/>
      </c>
      <c r="K30" s="17" t="str">
        <f aca="false">IF(H30="","",IF(AND(H30="Fast",E30="C"),"HIGH",IF(OR(AND(H30="Fast",E30="B"),AND(H30="Mid",E30="C")),"MEDIUM","LOW")))</f>
        <v/>
      </c>
    </row>
    <row r="31" customFormat="false" ht="15" hidden="false" customHeight="false" outlineLevel="0" collapsed="false">
      <c r="B31" s="17"/>
      <c r="C31" s="17"/>
      <c r="D31" s="17"/>
      <c r="E31" s="17"/>
      <c r="F31" s="17"/>
      <c r="G31" s="18" t="n">
        <f aca="false">IFERROR(F31/$H$2,0)</f>
        <v>0</v>
      </c>
      <c r="H31" s="17" t="str">
        <f aca="false">IF(F31="","",IF(G31&gt;=0.005,"Fast",IF(G31&gt;=0.001,"Mid","Slow")))</f>
        <v/>
      </c>
      <c r="I31" s="17" t="str">
        <f aca="false">IF(H31="","",IF(H31="Fast","A",IF(H31="Mid","B","C")))</f>
        <v/>
      </c>
      <c r="J31" s="19" t="str">
        <f aca="false">IF(OR(E31="",I31=""),"",IF(E31=I31,"✓","✗"))</f>
        <v/>
      </c>
      <c r="K31" s="17" t="str">
        <f aca="false">IF(H31="","",IF(AND(H31="Fast",E31="C"),"HIGH",IF(OR(AND(H31="Fast",E31="B"),AND(H31="Mid",E31="C")),"MEDIUM","LOW")))</f>
        <v/>
      </c>
    </row>
    <row r="32" customFormat="false" ht="15" hidden="false" customHeight="false" outlineLevel="0" collapsed="false">
      <c r="B32" s="17"/>
      <c r="C32" s="17"/>
      <c r="D32" s="17"/>
      <c r="E32" s="17"/>
      <c r="F32" s="17"/>
      <c r="G32" s="18" t="n">
        <f aca="false">IFERROR(F32/$H$2,0)</f>
        <v>0</v>
      </c>
      <c r="H32" s="17" t="str">
        <f aca="false">IF(F32="","",IF(G32&gt;=0.005,"Fast",IF(G32&gt;=0.001,"Mid","Slow")))</f>
        <v/>
      </c>
      <c r="I32" s="17" t="str">
        <f aca="false">IF(H32="","",IF(H32="Fast","A",IF(H32="Mid","B","C")))</f>
        <v/>
      </c>
      <c r="J32" s="19" t="str">
        <f aca="false">IF(OR(E32="",I32=""),"",IF(E32=I32,"✓","✗"))</f>
        <v/>
      </c>
      <c r="K32" s="17" t="str">
        <f aca="false">IF(H32="","",IF(AND(H32="Fast",E32="C"),"HIGH",IF(OR(AND(H32="Fast",E32="B"),AND(H32="Mid",E32="C")),"MEDIUM","LOW")))</f>
        <v/>
      </c>
    </row>
    <row r="33" customFormat="false" ht="15" hidden="false" customHeight="false" outlineLevel="0" collapsed="false">
      <c r="B33" s="17"/>
      <c r="C33" s="17"/>
      <c r="D33" s="17"/>
      <c r="E33" s="17"/>
      <c r="F33" s="17"/>
      <c r="G33" s="18" t="n">
        <f aca="false">IFERROR(F33/$H$2,0)</f>
        <v>0</v>
      </c>
      <c r="H33" s="17" t="str">
        <f aca="false">IF(F33="","",IF(G33&gt;=0.005,"Fast",IF(G33&gt;=0.001,"Mid","Slow")))</f>
        <v/>
      </c>
      <c r="I33" s="17" t="str">
        <f aca="false">IF(H33="","",IF(H33="Fast","A",IF(H33="Mid","B","C")))</f>
        <v/>
      </c>
      <c r="J33" s="19" t="str">
        <f aca="false">IF(OR(E33="",I33=""),"",IF(E33=I33,"✓","✗"))</f>
        <v/>
      </c>
      <c r="K33" s="17" t="str">
        <f aca="false">IF(H33="","",IF(AND(H33="Fast",E33="C"),"HIGH",IF(OR(AND(H33="Fast",E33="B"),AND(H33="Mid",E33="C")),"MEDIUM","LOW")))</f>
        <v/>
      </c>
    </row>
    <row r="34" customFormat="false" ht="15" hidden="false" customHeight="false" outlineLevel="0" collapsed="false">
      <c r="B34" s="17"/>
      <c r="C34" s="17"/>
      <c r="D34" s="17"/>
      <c r="E34" s="17"/>
      <c r="F34" s="17"/>
      <c r="G34" s="18" t="n">
        <f aca="false">IFERROR(F34/$H$2,0)</f>
        <v>0</v>
      </c>
      <c r="H34" s="17" t="str">
        <f aca="false">IF(F34="","",IF(G34&gt;=0.005,"Fast",IF(G34&gt;=0.001,"Mid","Slow")))</f>
        <v/>
      </c>
      <c r="I34" s="17" t="str">
        <f aca="false">IF(H34="","",IF(H34="Fast","A",IF(H34="Mid","B","C")))</f>
        <v/>
      </c>
      <c r="J34" s="19" t="str">
        <f aca="false">IF(OR(E34="",I34=""),"",IF(E34=I34,"✓","✗"))</f>
        <v/>
      </c>
      <c r="K34" s="17" t="str">
        <f aca="false">IF(H34="","",IF(AND(H34="Fast",E34="C"),"HIGH",IF(OR(AND(H34="Fast",E34="B"),AND(H34="Mid",E34="C")),"MEDIUM","LOW")))</f>
        <v/>
      </c>
    </row>
    <row r="35" customFormat="false" ht="15" hidden="false" customHeight="false" outlineLevel="0" collapsed="false">
      <c r="B35" s="17"/>
      <c r="C35" s="17"/>
      <c r="D35" s="17"/>
      <c r="E35" s="17"/>
      <c r="F35" s="17"/>
      <c r="G35" s="18" t="n">
        <f aca="false">IFERROR(F35/$H$2,0)</f>
        <v>0</v>
      </c>
      <c r="H35" s="17" t="str">
        <f aca="false">IF(F35="","",IF(G35&gt;=0.005,"Fast",IF(G35&gt;=0.001,"Mid","Slow")))</f>
        <v/>
      </c>
      <c r="I35" s="17" t="str">
        <f aca="false">IF(H35="","",IF(H35="Fast","A",IF(H35="Mid","B","C")))</f>
        <v/>
      </c>
      <c r="J35" s="19" t="str">
        <f aca="false">IF(OR(E35="",I35=""),"",IF(E35=I35,"✓","✗"))</f>
        <v/>
      </c>
      <c r="K35" s="17" t="str">
        <f aca="false">IF(H35="","",IF(AND(H35="Fast",E35="C"),"HIGH",IF(OR(AND(H35="Fast",E35="B"),AND(H35="Mid",E35="C")),"MEDIUM","LOW")))</f>
        <v/>
      </c>
    </row>
    <row r="36" customFormat="false" ht="15" hidden="false" customHeight="false" outlineLevel="0" collapsed="false">
      <c r="B36" s="17"/>
      <c r="C36" s="17"/>
      <c r="D36" s="17"/>
      <c r="E36" s="17"/>
      <c r="F36" s="17"/>
      <c r="G36" s="18" t="n">
        <f aca="false">IFERROR(F36/$H$2,0)</f>
        <v>0</v>
      </c>
      <c r="H36" s="17" t="str">
        <f aca="false">IF(F36="","",IF(G36&gt;=0.005,"Fast",IF(G36&gt;=0.001,"Mid","Slow")))</f>
        <v/>
      </c>
      <c r="I36" s="17" t="str">
        <f aca="false">IF(H36="","",IF(H36="Fast","A",IF(H36="Mid","B","C")))</f>
        <v/>
      </c>
      <c r="J36" s="19" t="str">
        <f aca="false">IF(OR(E36="",I36=""),"",IF(E36=I36,"✓","✗"))</f>
        <v/>
      </c>
      <c r="K36" s="17" t="str">
        <f aca="false">IF(H36="","",IF(AND(H36="Fast",E36="C"),"HIGH",IF(OR(AND(H36="Fast",E36="B"),AND(H36="Mid",E36="C")),"MEDIUM","LOW")))</f>
        <v/>
      </c>
    </row>
    <row r="37" customFormat="false" ht="15" hidden="false" customHeight="false" outlineLevel="0" collapsed="false">
      <c r="B37" s="17"/>
      <c r="C37" s="17"/>
      <c r="D37" s="17"/>
      <c r="E37" s="17"/>
      <c r="F37" s="17"/>
      <c r="G37" s="18" t="n">
        <f aca="false">IFERROR(F37/$H$2,0)</f>
        <v>0</v>
      </c>
      <c r="H37" s="17" t="str">
        <f aca="false">IF(F37="","",IF(G37&gt;=0.005,"Fast",IF(G37&gt;=0.001,"Mid","Slow")))</f>
        <v/>
      </c>
      <c r="I37" s="17" t="str">
        <f aca="false">IF(H37="","",IF(H37="Fast","A",IF(H37="Mid","B","C")))</f>
        <v/>
      </c>
      <c r="J37" s="19" t="str">
        <f aca="false">IF(OR(E37="",I37=""),"",IF(E37=I37,"✓","✗"))</f>
        <v/>
      </c>
      <c r="K37" s="17" t="str">
        <f aca="false">IF(H37="","",IF(AND(H37="Fast",E37="C"),"HIGH",IF(OR(AND(H37="Fast",E37="B"),AND(H37="Mid",E37="C")),"MEDIUM","LOW")))</f>
        <v/>
      </c>
    </row>
    <row r="38" customFormat="false" ht="15" hidden="false" customHeight="false" outlineLevel="0" collapsed="false">
      <c r="B38" s="17"/>
      <c r="C38" s="17"/>
      <c r="D38" s="17"/>
      <c r="E38" s="17"/>
      <c r="F38" s="17"/>
      <c r="G38" s="18" t="n">
        <f aca="false">IFERROR(F38/$H$2,0)</f>
        <v>0</v>
      </c>
      <c r="H38" s="17" t="str">
        <f aca="false">IF(F38="","",IF(G38&gt;=0.005,"Fast",IF(G38&gt;=0.001,"Mid","Slow")))</f>
        <v/>
      </c>
      <c r="I38" s="17" t="str">
        <f aca="false">IF(H38="","",IF(H38="Fast","A",IF(H38="Mid","B","C")))</f>
        <v/>
      </c>
      <c r="J38" s="19" t="str">
        <f aca="false">IF(OR(E38="",I38=""),"",IF(E38=I38,"✓","✗"))</f>
        <v/>
      </c>
      <c r="K38" s="17" t="str">
        <f aca="false">IF(H38="","",IF(AND(H38="Fast",E38="C"),"HIGH",IF(OR(AND(H38="Fast",E38="B"),AND(H38="Mid",E38="C")),"MEDIUM","LOW")))</f>
        <v/>
      </c>
    </row>
    <row r="39" customFormat="false" ht="15" hidden="false" customHeight="false" outlineLevel="0" collapsed="false">
      <c r="B39" s="17"/>
      <c r="C39" s="17"/>
      <c r="D39" s="17"/>
      <c r="E39" s="17"/>
      <c r="F39" s="17"/>
      <c r="G39" s="18" t="n">
        <f aca="false">IFERROR(F39/$H$2,0)</f>
        <v>0</v>
      </c>
      <c r="H39" s="17" t="str">
        <f aca="false">IF(F39="","",IF(G39&gt;=0.005,"Fast",IF(G39&gt;=0.001,"Mid","Slow")))</f>
        <v/>
      </c>
      <c r="I39" s="17" t="str">
        <f aca="false">IF(H39="","",IF(H39="Fast","A",IF(H39="Mid","B","C")))</f>
        <v/>
      </c>
      <c r="J39" s="19" t="str">
        <f aca="false">IF(OR(E39="",I39=""),"",IF(E39=I39,"✓","✗"))</f>
        <v/>
      </c>
      <c r="K39" s="17" t="str">
        <f aca="false">IF(H39="","",IF(AND(H39="Fast",E39="C"),"HIGH",IF(OR(AND(H39="Fast",E39="B"),AND(H39="Mid",E39="C")),"MEDIUM","LOW")))</f>
        <v/>
      </c>
    </row>
    <row r="40" customFormat="false" ht="15" hidden="false" customHeight="false" outlineLevel="0" collapsed="false">
      <c r="B40" s="17"/>
      <c r="C40" s="17"/>
      <c r="D40" s="17"/>
      <c r="E40" s="17"/>
      <c r="F40" s="17"/>
      <c r="G40" s="18" t="n">
        <f aca="false">IFERROR(F40/$H$2,0)</f>
        <v>0</v>
      </c>
      <c r="H40" s="17" t="str">
        <f aca="false">IF(F40="","",IF(G40&gt;=0.005,"Fast",IF(G40&gt;=0.001,"Mid","Slow")))</f>
        <v/>
      </c>
      <c r="I40" s="17" t="str">
        <f aca="false">IF(H40="","",IF(H40="Fast","A",IF(H40="Mid","B","C")))</f>
        <v/>
      </c>
      <c r="J40" s="19" t="str">
        <f aca="false">IF(OR(E40="",I40=""),"",IF(E40=I40,"✓","✗"))</f>
        <v/>
      </c>
      <c r="K40" s="17" t="str">
        <f aca="false">IF(H40="","",IF(AND(H40="Fast",E40="C"),"HIGH",IF(OR(AND(H40="Fast",E40="B"),AND(H40="Mid",E40="C")),"MEDIUM","LOW")))</f>
        <v/>
      </c>
    </row>
  </sheetData>
  <conditionalFormatting sqref="L6:L40">
    <cfRule type="expression" priority="2" aboveAverage="0" equalAverage="0" bottom="0" percent="0" rank="0" text="" dxfId="0">
      <formula>L6="HIGH"</formula>
    </cfRule>
    <cfRule type="expression" priority="3" aboveAverage="0" equalAverage="0" bottom="0" percent="0" rank="0" text="" dxfId="1">
      <formula>L6="MEDIUM"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14"/>
    <col collapsed="false" customWidth="true" hidden="false" outlineLevel="0" max="4" min="4" style="0" width="22"/>
    <col collapsed="false" customWidth="true" hidden="false" outlineLevel="0" max="5" min="5" style="0" width="55"/>
  </cols>
  <sheetData>
    <row r="2" customFormat="false" ht="22.05" hidden="false" customHeight="false" outlineLevel="0" collapsed="false">
      <c r="B2" s="1" t="s">
        <v>60</v>
      </c>
    </row>
    <row r="3" customFormat="false" ht="15" hidden="false" customHeight="false" outlineLevel="0" collapsed="false">
      <c r="B3" s="2" t="s">
        <v>61</v>
      </c>
    </row>
    <row r="5" customFormat="false" ht="15" hidden="false" customHeight="false" outlineLevel="0" collapsed="false">
      <c r="B5" s="20" t="s">
        <v>62</v>
      </c>
    </row>
    <row r="6" customFormat="false" ht="15" hidden="false" customHeight="false" outlineLevel="0" collapsed="false">
      <c r="B6" s="7" t="s">
        <v>63</v>
      </c>
      <c r="C6" s="7" t="s">
        <v>64</v>
      </c>
      <c r="D6" s="7" t="s">
        <v>65</v>
      </c>
      <c r="E6" s="7" t="s">
        <v>66</v>
      </c>
    </row>
    <row r="7" customFormat="false" ht="37.5" hidden="false" customHeight="true" outlineLevel="0" collapsed="false">
      <c r="B7" s="13" t="s">
        <v>67</v>
      </c>
      <c r="C7" s="17" t="n">
        <f aca="false">COUNTIF('SKU Data'!K:K,B7)</f>
        <v>1</v>
      </c>
      <c r="D7" s="18" t="n">
        <f aca="false">IFERROR(SUMIF('SKU Data'!K:K,B7,'SKU Data'!G:G),0)</f>
        <v>0.362010221465077</v>
      </c>
      <c r="E7" s="9" t="s">
        <v>68</v>
      </c>
    </row>
    <row r="8" customFormat="false" ht="37.5" hidden="false" customHeight="true" outlineLevel="0" collapsed="false">
      <c r="B8" s="13" t="s">
        <v>69</v>
      </c>
      <c r="C8" s="17" t="n">
        <f aca="false">COUNTIF('SKU Data'!K:K,B8)</f>
        <v>1</v>
      </c>
      <c r="D8" s="18" t="n">
        <f aca="false">IFERROR(SUMIF('SKU Data'!K:K,B8,'SKU Data'!G:G),0)</f>
        <v>0.144804088586031</v>
      </c>
      <c r="E8" s="9" t="s">
        <v>70</v>
      </c>
    </row>
    <row r="9" customFormat="false" ht="37.5" hidden="false" customHeight="true" outlineLevel="0" collapsed="false">
      <c r="B9" s="13" t="s">
        <v>71</v>
      </c>
      <c r="C9" s="17" t="n">
        <f aca="false">COUNTIF('SKU Data'!K:K,B9)</f>
        <v>3</v>
      </c>
      <c r="D9" s="18" t="n">
        <f aca="false">IFERROR(SUMIF('SKU Data'!K:K,B9,'SKU Data'!G:G),0)</f>
        <v>0.493185689948893</v>
      </c>
      <c r="E9" s="9" t="s">
        <v>72</v>
      </c>
    </row>
    <row r="12" customFormat="false" ht="15" hidden="false" customHeight="false" outlineLevel="0" collapsed="false">
      <c r="B12" s="20" t="s">
        <v>73</v>
      </c>
    </row>
    <row r="13" customFormat="false" ht="15" hidden="false" customHeight="false" outlineLevel="0" collapsed="false">
      <c r="B13" s="7" t="s">
        <v>74</v>
      </c>
      <c r="C13" s="7" t="s">
        <v>75</v>
      </c>
      <c r="D13" s="7" t="s">
        <v>76</v>
      </c>
      <c r="E13" s="7" t="s">
        <v>77</v>
      </c>
    </row>
    <row r="14" customFormat="false" ht="15" hidden="false" customHeight="false" outlineLevel="0" collapsed="false">
      <c r="B14" s="13" t="s">
        <v>78</v>
      </c>
      <c r="C14" s="17" t="n">
        <f aca="false">COUNTIF('SKU Data'!H:H,B14)</f>
        <v>5</v>
      </c>
      <c r="D14" s="17" t="n">
        <f aca="false">SUMIF('SKU Data'!H:H,B14,'SKU Data'!F:F)</f>
        <v>2348</v>
      </c>
      <c r="E14" s="21" t="n">
        <f aca="false">IFERROR(D14/C14,0)</f>
        <v>469.6</v>
      </c>
    </row>
    <row r="15" customFormat="false" ht="15" hidden="false" customHeight="false" outlineLevel="0" collapsed="false">
      <c r="B15" s="13" t="s">
        <v>79</v>
      </c>
      <c r="C15" s="17" t="n">
        <f aca="false">COUNTIF('SKU Data'!H:H,B15)</f>
        <v>0</v>
      </c>
      <c r="D15" s="17" t="n">
        <f aca="false">SUMIF('SKU Data'!H:H,B15,'SKU Data'!F:F)</f>
        <v>0</v>
      </c>
      <c r="E15" s="21" t="n">
        <f aca="false">IFERROR(D15/C15,0)</f>
        <v>0</v>
      </c>
    </row>
    <row r="16" customFormat="false" ht="15" hidden="false" customHeight="false" outlineLevel="0" collapsed="false">
      <c r="B16" s="13" t="s">
        <v>80</v>
      </c>
      <c r="C16" s="17" t="n">
        <f aca="false">COUNTIF('SKU Data'!H:H,B16)</f>
        <v>0</v>
      </c>
      <c r="D16" s="17" t="n">
        <f aca="false">SUMIF('SKU Data'!H:H,B16,'SKU Data'!F:F)</f>
        <v>0</v>
      </c>
      <c r="E16" s="21" t="n">
        <f aca="false">IFERROR(D16/C16,0)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2026-05-26T14:18:10Z</dcterms:created>
  <dc:creator>openpyxl</dc:creator>
  <dc:description/>
  <dc:language>en-US</dc:language>
  <cp:lastModifiedBy/>
  <dcterms:modified xsi:type="dcterms:W3CDTF">2026-05-26T14:18:10Z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