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rgets" sheetId="2" state="visible" r:id="rId4"/>
    <sheet name="Daily Log" sheetId="3" state="visible" r:id="rId5"/>
    <sheet name="Week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<sst xmlns="http://schemas.openxmlformats.org/spreadsheetml/2006/main" count="93" uniqueCount="61">
  <si>
    <t xml:space="preserve">Labour Efficiency Tracker</t>
  </si>
  <si>
    <t xml:space="preserve">PainKiller Consulting — Operations Toolkit</t>
  </si>
  <si>
    <t xml:space="preserve">WHAT THIS TRACKS</t>
  </si>
  <si>
    <t xml:space="preserve">Daily and weekly labour efficiency by shift, team, and task. Baseline data for</t>
  </si>
  <si>
    <t xml:space="preserve">identifying where hours are going and whether output is matching cost.</t>
  </si>
  <si>
    <t xml:space="preserve">HOW TO USE</t>
  </si>
  <si>
    <t xml:space="preserve">1.  Open the Daily Log sheet and enter the date, shift, team, and task type for each row.</t>
  </si>
  <si>
    <t xml:space="preserve">2.  Enter hours worked and units produced. The tracker will calculate units/hour automatically.</t>
  </si>
  <si>
    <t xml:space="preserve">3.  Set target units/hour per task type on the Targets sheet. Variance will compute automatically.</t>
  </si>
  <si>
    <t xml:space="preserve">4.  The Weekly Summary sheet aggregates the data across all shifts and teams for the week.</t>
  </si>
  <si>
    <t xml:space="preserve">5.  Use the variance column to identify which shifts, teams, or tasks are systematically underperforming.</t>
  </si>
  <si>
    <t xml:space="preserve">WHAT TO LOOK FOR</t>
  </si>
  <si>
    <t xml:space="preserve">•  Consistent negative variance on one shift = process or supervision issue, not people</t>
  </si>
  <si>
    <t xml:space="preserve">•  Negative variance only on certain task types = task design or layout problem</t>
  </si>
  <si>
    <t xml:space="preserve">•  Wide variance week-to-week with same team = inconsistent inputs (volume, mix, equipment)</t>
  </si>
  <si>
    <t xml:space="preserve">•  Positive variance unexplained = likely target is set too low, not heroism</t>
  </si>
  <si>
    <t xml:space="preserve">Copyright © PainKiller Consulting Ltd. For use within the licensee organisation.</t>
  </si>
  <si>
    <t xml:space="preserve">Targets by Task Type</t>
  </si>
  <si>
    <t xml:space="preserve">Set the expected units per hour for each task. Variance is calculated against these.</t>
  </si>
  <si>
    <t xml:space="preserve">Task Type</t>
  </si>
  <si>
    <t xml:space="preserve">Target units/hour</t>
  </si>
  <si>
    <t xml:space="preserve">Notes</t>
  </si>
  <si>
    <t xml:space="preserve">Picking — single line</t>
  </si>
  <si>
    <t xml:space="preserve">Adjust per typical SKU velocity</t>
  </si>
  <si>
    <t xml:space="preserve">Picking — multi-line batch</t>
  </si>
  <si>
    <t xml:space="preserve">Higher target due to batching</t>
  </si>
  <si>
    <t xml:space="preserve">Goods-in receipt</t>
  </si>
  <si>
    <t xml:space="preserve">Per pallet, including check</t>
  </si>
  <si>
    <t xml:space="preserve">Putaway</t>
  </si>
  <si>
    <t xml:space="preserve">Per pallet to designated location</t>
  </si>
  <si>
    <t xml:space="preserve">Despatch loading</t>
  </si>
  <si>
    <t xml:space="preserve">Per pallet onto trailer</t>
  </si>
  <si>
    <t xml:space="preserve">Replenishment</t>
  </si>
  <si>
    <t xml:space="preserve">Per pick face replenished</t>
  </si>
  <si>
    <t xml:space="preserve">Daily Labour Log</t>
  </si>
  <si>
    <t xml:space="preserve">One row per shift/team/task combination. Variance and £ cost calculate automatically.</t>
  </si>
  <si>
    <t xml:space="preserve">Date</t>
  </si>
  <si>
    <t xml:space="preserve">Shift</t>
  </si>
  <si>
    <t xml:space="preserve">Team</t>
  </si>
  <si>
    <t xml:space="preserve">Headcount</t>
  </si>
  <si>
    <t xml:space="preserve">Hours/Person</t>
  </si>
  <si>
    <t xml:space="preserve">Total Hours</t>
  </si>
  <si>
    <t xml:space="preserve">Units Produced</t>
  </si>
  <si>
    <t xml:space="preserve">Units/Hour</t>
  </si>
  <si>
    <t xml:space="preserve">Target</t>
  </si>
  <si>
    <t xml:space="preserve">Variance %</t>
  </si>
  <si>
    <t xml:space="preserve">Avg £/Hour</t>
  </si>
  <si>
    <t xml:space="preserve">Labour Cost £</t>
  </si>
  <si>
    <t xml:space="preserve">2025-05-19</t>
  </si>
  <si>
    <t xml:space="preserve">Day</t>
  </si>
  <si>
    <t xml:space="preserve">A</t>
  </si>
  <si>
    <t xml:space="preserve">B</t>
  </si>
  <si>
    <t xml:space="preserve">Late</t>
  </si>
  <si>
    <t xml:space="preserve">C</t>
  </si>
  <si>
    <t xml:space="preserve">Weekly Summary</t>
  </si>
  <si>
    <t xml:space="preserve">Aggregated view of the Daily Log. Updates automatically when log entries change.</t>
  </si>
  <si>
    <t xml:space="preserve">Performance by Shift</t>
  </si>
  <si>
    <t xml:space="preserve">Avg Units/Hour</t>
  </si>
  <si>
    <t xml:space="preserve">Avg Variance %</t>
  </si>
  <si>
    <t xml:space="preserve">Night</t>
  </si>
  <si>
    <t xml:space="preserve">Performance by Task Type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</si>
</sst>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\£#,##0.00"/>
    <numFmt numFmtId="168" formatCode="\£#,##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18"/>
      <name val="Arial"/>
      <family val="0"/>
      <charset val="1"/>
    </font>
    <font>
      <i val="true"/>
      <sz val="11"/>
      <color rgb="FF8A8A84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4A4A46"/>
      <name val="Arial"/>
      <family val="0"/>
      <charset val="1"/>
    </font>
    <font>
      <sz val="9"/>
      <color rgb="FF8A8A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8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4"/>
      <rgbColor rgb="FF9999FF"/>
      <rgbColor rgb="FF993366"/>
      <rgbColor rgb="FFFFFFCC"/>
      <rgbColor rgb="FFCCFFFF"/>
      <rgbColor rgb="FF660066"/>
      <rgbColor rgb="FFFF8080"/>
      <rgbColor rgb="FF0066CC"/>
      <rgbColor rgb="FFDD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8"/>
      <rgbColor rgb="FFC0392B"/>
      <rgbColor rgb="FF993366"/>
      <rgbColor rgb="FF333399"/>
      <rgbColor rgb="FF4A4A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4" customFormat="false" ht="15" hidden="false" customHeight="false" outlineLevel="0" collapsed="false">
      <c r="B24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5"/>
  </cols>
  <sheetData>
    <row r="2" customFormat="false" ht="22.05" hidden="false" customHeight="false" outlineLevel="0" collapsed="false">
      <c r="B2" s="1" t="s">
        <v>17</v>
      </c>
    </row>
    <row r="3" customFormat="false" ht="15" hidden="false" customHeight="false" outlineLevel="0" collapsed="false">
      <c r="B3" s="2" t="s">
        <v>18</v>
      </c>
    </row>
    <row r="5" customFormat="false" ht="15" hidden="false" customHeight="false" outlineLevel="0" collapsed="false">
      <c r="B5" s="7" t="s">
        <v>19</v>
      </c>
      <c r="C5" s="7" t="s">
        <v>20</v>
      </c>
      <c r="D5" s="7" t="s">
        <v>21</v>
      </c>
    </row>
    <row r="6" customFormat="false" ht="15" hidden="false" customHeight="false" outlineLevel="0" collapsed="false">
      <c r="B6" s="8" t="s">
        <v>22</v>
      </c>
      <c r="C6" s="9" t="n">
        <v>65</v>
      </c>
      <c r="D6" s="9" t="s">
        <v>23</v>
      </c>
    </row>
    <row r="7" customFormat="false" ht="15" hidden="false" customHeight="false" outlineLevel="0" collapsed="false">
      <c r="B7" s="8" t="s">
        <v>24</v>
      </c>
      <c r="C7" s="9" t="n">
        <v>95</v>
      </c>
      <c r="D7" s="9" t="s">
        <v>25</v>
      </c>
    </row>
    <row r="8" customFormat="false" ht="15" hidden="false" customHeight="false" outlineLevel="0" collapsed="false">
      <c r="B8" s="8" t="s">
        <v>26</v>
      </c>
      <c r="C8" s="9" t="n">
        <v>25</v>
      </c>
      <c r="D8" s="9" t="s">
        <v>27</v>
      </c>
    </row>
    <row r="9" customFormat="false" ht="15" hidden="false" customHeight="false" outlineLevel="0" collapsed="false">
      <c r="B9" s="8" t="s">
        <v>28</v>
      </c>
      <c r="C9" s="9" t="n">
        <v>40</v>
      </c>
      <c r="D9" s="9" t="s">
        <v>29</v>
      </c>
    </row>
    <row r="10" customFormat="false" ht="15" hidden="false" customHeight="false" outlineLevel="0" collapsed="false">
      <c r="B10" s="8" t="s">
        <v>30</v>
      </c>
      <c r="C10" s="9" t="n">
        <v>12</v>
      </c>
      <c r="D10" s="9" t="s">
        <v>31</v>
      </c>
    </row>
    <row r="11" customFormat="false" ht="15" hidden="false" customHeight="false" outlineLevel="0" collapsed="false">
      <c r="B11" s="8" t="s">
        <v>32</v>
      </c>
      <c r="C11" s="9" t="n">
        <v>35</v>
      </c>
      <c r="D11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4"/>
  </cols>
  <sheetData>
    <row r="2" customFormat="false" ht="22.05" hidden="false" customHeight="false" outlineLevel="0" collapsed="false">
      <c r="B2" s="1" t="s">
        <v>34</v>
      </c>
    </row>
    <row r="3" customFormat="false" ht="15" hidden="false" customHeight="false" outlineLevel="0" collapsed="false">
      <c r="B3" s="2" t="s">
        <v>35</v>
      </c>
    </row>
    <row r="5" customFormat="false" ht="23.85" hidden="false" customHeight="false" outlineLevel="0" collapsed="false">
      <c r="B5" s="10" t="s">
        <v>36</v>
      </c>
      <c r="C5" s="10" t="s">
        <v>37</v>
      </c>
      <c r="D5" s="10" t="s">
        <v>38</v>
      </c>
      <c r="E5" s="10" t="s">
        <v>19</v>
      </c>
      <c r="F5" s="10" t="s">
        <v>39</v>
      </c>
      <c r="G5" s="10" t="s">
        <v>40</v>
      </c>
      <c r="H5" s="10" t="s">
        <v>41</v>
      </c>
      <c r="I5" s="10" t="s">
        <v>42</v>
      </c>
      <c r="J5" s="11" t="s">
        <v>43</v>
      </c>
      <c r="K5" s="10" t="s">
        <v>44</v>
      </c>
      <c r="L5" s="12" t="s">
        <v>45</v>
      </c>
      <c r="M5" s="13" t="s">
        <v>46</v>
      </c>
      <c r="N5" s="13" t="s">
        <v>47</v>
      </c>
    </row>
    <row r="6" customFormat="false" ht="15" hidden="false" customHeight="false" outlineLevel="0" collapsed="false">
      <c r="B6" s="9" t="s">
        <v>48</v>
      </c>
      <c r="C6" s="9" t="s">
        <v>49</v>
      </c>
      <c r="D6" s="9" t="s">
        <v>50</v>
      </c>
      <c r="E6" s="9" t="s">
        <v>22</v>
      </c>
      <c r="F6" s="9" t="n">
        <v>8</v>
      </c>
      <c r="G6" s="9" t="n">
        <v>7.5</v>
      </c>
      <c r="H6" s="9" t="n">
        <f aca="false">F6*G6</f>
        <v>60</v>
      </c>
      <c r="I6" s="9" t="n">
        <v>3720</v>
      </c>
      <c r="J6" s="14" t="n">
        <f aca="false">IFERROR(I6/H6,0)</f>
        <v>62</v>
      </c>
      <c r="K6" s="9" t="n">
        <f aca="false">IFERROR(VLOOKUP(E6,Targets!B6:C11,2,FALSE()),"set target")</f>
        <v>65</v>
      </c>
      <c r="L6" s="15" t="n">
        <f aca="false">IFERROR((J6-K6)/K6,0)</f>
        <v>-0.0461538461538462</v>
      </c>
      <c r="M6" s="16" t="n">
        <v>14.5</v>
      </c>
      <c r="N6" s="16" t="n">
        <f aca="false">H6*M6</f>
        <v>870</v>
      </c>
    </row>
    <row r="7" customFormat="false" ht="15" hidden="false" customHeight="false" outlineLevel="0" collapsed="false">
      <c r="B7" s="9" t="s">
        <v>48</v>
      </c>
      <c r="C7" s="9" t="s">
        <v>49</v>
      </c>
      <c r="D7" s="9" t="s">
        <v>51</v>
      </c>
      <c r="E7" s="9" t="s">
        <v>22</v>
      </c>
      <c r="F7" s="9" t="n">
        <v>7</v>
      </c>
      <c r="G7" s="9" t="n">
        <v>7.5</v>
      </c>
      <c r="H7" s="9" t="n">
        <f aca="false">F7*G7</f>
        <v>52.5</v>
      </c>
      <c r="I7" s="9" t="n">
        <v>3100</v>
      </c>
      <c r="J7" s="14" t="n">
        <f aca="false">IFERROR(I7/H7,0)</f>
        <v>59.0476190476191</v>
      </c>
      <c r="K7" s="9" t="n">
        <f aca="false">IFERROR(VLOOKUP(E7,Targets!B6:C11,2,FALSE()),"set target")</f>
        <v>65</v>
      </c>
      <c r="L7" s="15" t="n">
        <f aca="false">IFERROR((J7-K7)/K7,0)</f>
        <v>-0.0915750915750915</v>
      </c>
      <c r="M7" s="16" t="n">
        <v>14.5</v>
      </c>
      <c r="N7" s="16" t="n">
        <f aca="false">H7*M7</f>
        <v>761.25</v>
      </c>
    </row>
    <row r="8" customFormat="false" ht="15" hidden="false" customHeight="false" outlineLevel="0" collapsed="false">
      <c r="B8" s="9" t="s">
        <v>48</v>
      </c>
      <c r="C8" s="9" t="s">
        <v>49</v>
      </c>
      <c r="D8" s="9" t="s">
        <v>50</v>
      </c>
      <c r="E8" s="9" t="s">
        <v>28</v>
      </c>
      <c r="F8" s="9" t="n">
        <v>3</v>
      </c>
      <c r="G8" s="9" t="n">
        <v>7.5</v>
      </c>
      <c r="H8" s="9" t="n">
        <f aca="false">F8*G8</f>
        <v>22.5</v>
      </c>
      <c r="I8" s="9" t="n">
        <v>850</v>
      </c>
      <c r="J8" s="14" t="n">
        <f aca="false">IFERROR(I8/H8,0)</f>
        <v>37.7777777777778</v>
      </c>
      <c r="K8" s="9" t="n">
        <f aca="false">IFERROR(VLOOKUP(E8,Targets!B6:C11,2,FALSE()),"set target")</f>
        <v>40</v>
      </c>
      <c r="L8" s="15" t="n">
        <f aca="false">IFERROR((J8-K8)/K8,0)</f>
        <v>-0.0555555555555555</v>
      </c>
      <c r="M8" s="16" t="n">
        <v>14.5</v>
      </c>
      <c r="N8" s="16" t="n">
        <f aca="false">H8*M8</f>
        <v>326.25</v>
      </c>
    </row>
    <row r="9" customFormat="false" ht="15" hidden="false" customHeight="false" outlineLevel="0" collapsed="false">
      <c r="B9" s="9" t="s">
        <v>48</v>
      </c>
      <c r="C9" s="9" t="s">
        <v>52</v>
      </c>
      <c r="D9" s="9" t="s">
        <v>53</v>
      </c>
      <c r="E9" s="9" t="s">
        <v>22</v>
      </c>
      <c r="F9" s="9" t="n">
        <v>8</v>
      </c>
      <c r="G9" s="9" t="n">
        <v>7.5</v>
      </c>
      <c r="H9" s="9" t="n">
        <f aca="false">F9*G9</f>
        <v>60</v>
      </c>
      <c r="I9" s="9" t="n">
        <v>3450</v>
      </c>
      <c r="J9" s="14" t="n">
        <f aca="false">IFERROR(I9/H9,0)</f>
        <v>57.5</v>
      </c>
      <c r="K9" s="9" t="n">
        <f aca="false">IFERROR(VLOOKUP(E9,Targets!B6:C11,2,FALSE()),"set target")</f>
        <v>65</v>
      </c>
      <c r="L9" s="15" t="n">
        <f aca="false">IFERROR((J9-K9)/K9,0)</f>
        <v>-0.115384615384615</v>
      </c>
      <c r="M9" s="16" t="n">
        <v>14.5</v>
      </c>
      <c r="N9" s="16" t="n">
        <f aca="false">H9*M9</f>
        <v>870</v>
      </c>
    </row>
    <row r="10" customFormat="false" ht="15" hidden="false" customHeight="false" outlineLevel="0" collapsed="false">
      <c r="B10" s="9" t="s">
        <v>48</v>
      </c>
      <c r="C10" s="9" t="s">
        <v>52</v>
      </c>
      <c r="D10" s="9" t="s">
        <v>53</v>
      </c>
      <c r="E10" s="9" t="s">
        <v>30</v>
      </c>
      <c r="F10" s="9" t="n">
        <v>4</v>
      </c>
      <c r="G10" s="9" t="n">
        <v>7.5</v>
      </c>
      <c r="H10" s="9" t="n">
        <f aca="false">F10*G10</f>
        <v>30</v>
      </c>
      <c r="I10" s="9" t="n">
        <v>320</v>
      </c>
      <c r="J10" s="14" t="n">
        <f aca="false">IFERROR(I10/H10,0)</f>
        <v>10.6666666666667</v>
      </c>
      <c r="K10" s="9" t="n">
        <f aca="false">IFERROR(VLOOKUP(E10,Targets!B6:C11,2,FALSE()),"set target")</f>
        <v>12</v>
      </c>
      <c r="L10" s="15" t="n">
        <f aca="false">IFERROR((J10-K10)/K10,0)</f>
        <v>-0.111111111111111</v>
      </c>
      <c r="M10" s="16" t="n">
        <v>14.5</v>
      </c>
      <c r="N10" s="16" t="n">
        <f aca="false">H10*M10</f>
        <v>435</v>
      </c>
    </row>
    <row r="11" customFormat="false" ht="15" hidden="false" customHeight="false" outlineLevel="0" collapsed="false">
      <c r="B11" s="9"/>
      <c r="C11" s="9"/>
      <c r="D11" s="9"/>
      <c r="E11" s="9"/>
      <c r="F11" s="9"/>
      <c r="G11" s="9"/>
      <c r="H11" s="9" t="n">
        <f aca="false">IFERROR(F11*G11,0)</f>
        <v>0</v>
      </c>
      <c r="I11" s="9"/>
      <c r="J11" s="14" t="n">
        <f aca="false">IFERROR(I11/H11,0)</f>
        <v>0</v>
      </c>
      <c r="K11" s="9" t="str">
        <f aca="false">IFERROR(VLOOKUP(E11,Targets!B6:C11,2,FALSE()),"")</f>
        <v/>
      </c>
      <c r="L11" s="15" t="n">
        <f aca="false">IFERROR((J11-K11)/K11,0)</f>
        <v>0</v>
      </c>
      <c r="M11" s="16"/>
      <c r="N11" s="16" t="n">
        <f aca="false">IFERROR(H11*M11,0)</f>
        <v>0</v>
      </c>
    </row>
    <row r="12" customFormat="false" ht="15" hidden="false" customHeight="false" outlineLevel="0" collapsed="false">
      <c r="B12" s="9"/>
      <c r="C12" s="9"/>
      <c r="D12" s="9"/>
      <c r="E12" s="9"/>
      <c r="F12" s="9"/>
      <c r="G12" s="9"/>
      <c r="H12" s="9" t="n">
        <f aca="false">IFERROR(F12*G12,0)</f>
        <v>0</v>
      </c>
      <c r="I12" s="9"/>
      <c r="J12" s="14" t="n">
        <f aca="false">IFERROR(I12/H12,0)</f>
        <v>0</v>
      </c>
      <c r="K12" s="9" t="str">
        <f aca="false">IFERROR(VLOOKUP(E12,Targets!B6:C11,2,FALSE()),"")</f>
        <v/>
      </c>
      <c r="L12" s="15" t="n">
        <f aca="false">IFERROR((J12-K12)/K12,0)</f>
        <v>0</v>
      </c>
      <c r="M12" s="16"/>
      <c r="N12" s="16" t="n">
        <f aca="false">IFERROR(H12*M12,0)</f>
        <v>0</v>
      </c>
    </row>
    <row r="13" customFormat="false" ht="15" hidden="false" customHeight="false" outlineLevel="0" collapsed="false">
      <c r="B13" s="9"/>
      <c r="C13" s="9"/>
      <c r="D13" s="9"/>
      <c r="E13" s="9"/>
      <c r="F13" s="9"/>
      <c r="G13" s="9"/>
      <c r="H13" s="9" t="n">
        <f aca="false">IFERROR(F13*G13,0)</f>
        <v>0</v>
      </c>
      <c r="I13" s="9"/>
      <c r="J13" s="14" t="n">
        <f aca="false">IFERROR(I13/H13,0)</f>
        <v>0</v>
      </c>
      <c r="K13" s="9" t="str">
        <f aca="false">IFERROR(VLOOKUP(E13,Targets!B6:C11,2,FALSE()),"")</f>
        <v/>
      </c>
      <c r="L13" s="15" t="n">
        <f aca="false">IFERROR((J13-K13)/K13,0)</f>
        <v>0</v>
      </c>
      <c r="M13" s="16"/>
      <c r="N13" s="16" t="n">
        <f aca="false">IFERROR(H13*M13,0)</f>
        <v>0</v>
      </c>
    </row>
    <row r="14" customFormat="false" ht="15" hidden="false" customHeight="false" outlineLevel="0" collapsed="false">
      <c r="B14" s="9"/>
      <c r="C14" s="9"/>
      <c r="D14" s="9"/>
      <c r="E14" s="9"/>
      <c r="F14" s="9"/>
      <c r="G14" s="9"/>
      <c r="H14" s="9" t="n">
        <f aca="false">IFERROR(F14*G14,0)</f>
        <v>0</v>
      </c>
      <c r="I14" s="9"/>
      <c r="J14" s="14" t="n">
        <f aca="false">IFERROR(I14/H14,0)</f>
        <v>0</v>
      </c>
      <c r="K14" s="9" t="str">
        <f aca="false">IFERROR(VLOOKUP(E14,Targets!B6:C11,2,FALSE()),"")</f>
        <v/>
      </c>
      <c r="L14" s="15" t="n">
        <f aca="false">IFERROR((J14-K14)/K14,0)</f>
        <v>0</v>
      </c>
      <c r="M14" s="16"/>
      <c r="N14" s="16" t="n">
        <f aca="false">IFERROR(H14*M14,0)</f>
        <v>0</v>
      </c>
    </row>
    <row r="15" customFormat="false" ht="15" hidden="false" customHeight="false" outlineLevel="0" collapsed="false">
      <c r="B15" s="9"/>
      <c r="C15" s="9"/>
      <c r="D15" s="9"/>
      <c r="E15" s="9"/>
      <c r="F15" s="9"/>
      <c r="G15" s="9"/>
      <c r="H15" s="9" t="n">
        <f aca="false">IFERROR(F15*G15,0)</f>
        <v>0</v>
      </c>
      <c r="I15" s="9"/>
      <c r="J15" s="14" t="n">
        <f aca="false">IFERROR(I15/H15,0)</f>
        <v>0</v>
      </c>
      <c r="K15" s="9" t="str">
        <f aca="false">IFERROR(VLOOKUP(E15,Targets!B6:C11,2,FALSE()),"")</f>
        <v/>
      </c>
      <c r="L15" s="15" t="n">
        <f aca="false">IFERROR((J15-K15)/K15,0)</f>
        <v>0</v>
      </c>
      <c r="M15" s="16"/>
      <c r="N15" s="16" t="n">
        <f aca="false">IFERROR(H15*M15,0)</f>
        <v>0</v>
      </c>
    </row>
    <row r="16" customFormat="false" ht="15" hidden="false" customHeight="false" outlineLevel="0" collapsed="false">
      <c r="B16" s="9"/>
      <c r="C16" s="9"/>
      <c r="D16" s="9"/>
      <c r="E16" s="9"/>
      <c r="F16" s="9"/>
      <c r="G16" s="9"/>
      <c r="H16" s="9" t="n">
        <f aca="false">IFERROR(F16*G16,0)</f>
        <v>0</v>
      </c>
      <c r="I16" s="9"/>
      <c r="J16" s="14" t="n">
        <f aca="false">IFERROR(I16/H16,0)</f>
        <v>0</v>
      </c>
      <c r="K16" s="9" t="str">
        <f aca="false">IFERROR(VLOOKUP(E16,Targets!B6:C11,2,FALSE()),"")</f>
        <v/>
      </c>
      <c r="L16" s="15" t="n">
        <f aca="false">IFERROR((J16-K16)/K16,0)</f>
        <v>0</v>
      </c>
      <c r="M16" s="16"/>
      <c r="N16" s="16" t="n">
        <f aca="false">IFERROR(H16*M16,0)</f>
        <v>0</v>
      </c>
    </row>
    <row r="17" customFormat="false" ht="15" hidden="false" customHeight="false" outlineLevel="0" collapsed="false">
      <c r="B17" s="9"/>
      <c r="C17" s="9"/>
      <c r="D17" s="9"/>
      <c r="E17" s="9"/>
      <c r="F17" s="9"/>
      <c r="G17" s="9"/>
      <c r="H17" s="9" t="n">
        <f aca="false">IFERROR(F17*G17,0)</f>
        <v>0</v>
      </c>
      <c r="I17" s="9"/>
      <c r="J17" s="14" t="n">
        <f aca="false">IFERROR(I17/H17,0)</f>
        <v>0</v>
      </c>
      <c r="K17" s="9" t="str">
        <f aca="false">IFERROR(VLOOKUP(E17,Targets!B6:C11,2,FALSE()),"")</f>
        <v/>
      </c>
      <c r="L17" s="15" t="n">
        <f aca="false">IFERROR((J17-K17)/K17,0)</f>
        <v>0</v>
      </c>
      <c r="M17" s="16"/>
      <c r="N17" s="16" t="n">
        <f aca="false">IFERROR(H17*M17,0)</f>
        <v>0</v>
      </c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 t="n">
        <f aca="false">IFERROR(F18*G18,0)</f>
        <v>0</v>
      </c>
      <c r="I18" s="9"/>
      <c r="J18" s="14" t="n">
        <f aca="false">IFERROR(I18/H18,0)</f>
        <v>0</v>
      </c>
      <c r="K18" s="9" t="str">
        <f aca="false">IFERROR(VLOOKUP(E18,Targets!B6:C11,2,FALSE()),"")</f>
        <v/>
      </c>
      <c r="L18" s="15" t="n">
        <f aca="false">IFERROR((J18-K18)/K18,0)</f>
        <v>0</v>
      </c>
      <c r="M18" s="16"/>
      <c r="N18" s="16" t="n">
        <f aca="false">IFERROR(H18*M18,0)</f>
        <v>0</v>
      </c>
    </row>
    <row r="19" customFormat="false" ht="15" hidden="false" customHeight="false" outlineLevel="0" collapsed="false">
      <c r="B19" s="9"/>
      <c r="C19" s="9"/>
      <c r="D19" s="9"/>
      <c r="E19" s="9"/>
      <c r="F19" s="9"/>
      <c r="G19" s="9"/>
      <c r="H19" s="9" t="n">
        <f aca="false">IFERROR(F19*G19,0)</f>
        <v>0</v>
      </c>
      <c r="I19" s="9"/>
      <c r="J19" s="14" t="n">
        <f aca="false">IFERROR(I19/H19,0)</f>
        <v>0</v>
      </c>
      <c r="K19" s="9" t="str">
        <f aca="false">IFERROR(VLOOKUP(E19,Targets!B6:C11,2,FALSE()),"")</f>
        <v/>
      </c>
      <c r="L19" s="15" t="n">
        <f aca="false">IFERROR((J19-K19)/K19,0)</f>
        <v>0</v>
      </c>
      <c r="M19" s="16"/>
      <c r="N19" s="16" t="n">
        <f aca="false">IFERROR(H19*M19,0)</f>
        <v>0</v>
      </c>
    </row>
    <row r="20" customFormat="false" ht="15" hidden="false" customHeight="false" outlineLevel="0" collapsed="false">
      <c r="B20" s="9"/>
      <c r="C20" s="9"/>
      <c r="D20" s="9"/>
      <c r="E20" s="9"/>
      <c r="F20" s="9"/>
      <c r="G20" s="9"/>
      <c r="H20" s="9" t="n">
        <f aca="false">IFERROR(F20*G20,0)</f>
        <v>0</v>
      </c>
      <c r="I20" s="9"/>
      <c r="J20" s="14" t="n">
        <f aca="false">IFERROR(I20/H20,0)</f>
        <v>0</v>
      </c>
      <c r="K20" s="9" t="str">
        <f aca="false">IFERROR(VLOOKUP(E20,Targets!B6:C11,2,FALSE()),"")</f>
        <v/>
      </c>
      <c r="L20" s="15" t="n">
        <f aca="false">IFERROR((J20-K20)/K20,0)</f>
        <v>0</v>
      </c>
      <c r="M20" s="16"/>
      <c r="N20" s="16" t="n">
        <f aca="false">IFERROR(H20*M20,0)</f>
        <v>0</v>
      </c>
    </row>
    <row r="21" customFormat="false" ht="15" hidden="false" customHeight="false" outlineLevel="0" collapsed="false">
      <c r="B21" s="9"/>
      <c r="C21" s="9"/>
      <c r="D21" s="9"/>
      <c r="E21" s="9"/>
      <c r="F21" s="9"/>
      <c r="G21" s="9"/>
      <c r="H21" s="9" t="n">
        <f aca="false">IFERROR(F21*G21,0)</f>
        <v>0</v>
      </c>
      <c r="I21" s="9"/>
      <c r="J21" s="14" t="n">
        <f aca="false">IFERROR(I21/H21,0)</f>
        <v>0</v>
      </c>
      <c r="K21" s="9" t="str">
        <f aca="false">IFERROR(VLOOKUP(E21,Targets!B6:C11,2,FALSE()),"")</f>
        <v/>
      </c>
      <c r="L21" s="15" t="n">
        <f aca="false">IFERROR((J21-K21)/K21,0)</f>
        <v>0</v>
      </c>
      <c r="M21" s="16"/>
      <c r="N21" s="16" t="n">
        <f aca="false">IFERROR(H21*M21,0)</f>
        <v>0</v>
      </c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 t="n">
        <f aca="false">IFERROR(F22*G22,0)</f>
        <v>0</v>
      </c>
      <c r="I22" s="9"/>
      <c r="J22" s="14" t="n">
        <f aca="false">IFERROR(I22/H22,0)</f>
        <v>0</v>
      </c>
      <c r="K22" s="9" t="str">
        <f aca="false">IFERROR(VLOOKUP(E22,Targets!B6:C11,2,FALSE()),"")</f>
        <v/>
      </c>
      <c r="L22" s="15" t="n">
        <f aca="false">IFERROR((J22-K22)/K22,0)</f>
        <v>0</v>
      </c>
      <c r="M22" s="16"/>
      <c r="N22" s="16" t="n">
        <f aca="false">IFERROR(H22*M22,0)</f>
        <v>0</v>
      </c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  <c r="H23" s="9" t="n">
        <f aca="false">IFERROR(F23*G23,0)</f>
        <v>0</v>
      </c>
      <c r="I23" s="9"/>
      <c r="J23" s="14" t="n">
        <f aca="false">IFERROR(I23/H23,0)</f>
        <v>0</v>
      </c>
      <c r="K23" s="9" t="str">
        <f aca="false">IFERROR(VLOOKUP(E23,Targets!B6:C11,2,FALSE()),"")</f>
        <v/>
      </c>
      <c r="L23" s="15" t="n">
        <f aca="false">IFERROR((J23-K23)/K23,0)</f>
        <v>0</v>
      </c>
      <c r="M23" s="16"/>
      <c r="N23" s="16" t="n">
        <f aca="false">IFERROR(H23*M23,0)</f>
        <v>0</v>
      </c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  <c r="H24" s="9" t="n">
        <f aca="false">IFERROR(F24*G24,0)</f>
        <v>0</v>
      </c>
      <c r="I24" s="9"/>
      <c r="J24" s="14" t="n">
        <f aca="false">IFERROR(I24/H24,0)</f>
        <v>0</v>
      </c>
      <c r="K24" s="9" t="str">
        <f aca="false">IFERROR(VLOOKUP(E24,Targets!B6:C11,2,FALSE()),"")</f>
        <v/>
      </c>
      <c r="L24" s="15" t="n">
        <f aca="false">IFERROR((J24-K24)/K24,0)</f>
        <v>0</v>
      </c>
      <c r="M24" s="16"/>
      <c r="N24" s="16" t="n">
        <f aca="false">IFERROR(H24*M24,0)</f>
        <v>0</v>
      </c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 t="n">
        <f aca="false">IFERROR(F25*G25,0)</f>
        <v>0</v>
      </c>
      <c r="I25" s="9"/>
      <c r="J25" s="14" t="n">
        <f aca="false">IFERROR(I25/H25,0)</f>
        <v>0</v>
      </c>
      <c r="K25" s="9" t="str">
        <f aca="false">IFERROR(VLOOKUP(E25,Targets!B6:C11,2,FALSE()),"")</f>
        <v/>
      </c>
      <c r="L25" s="15" t="n">
        <f aca="false">IFERROR((J25-K25)/K25,0)</f>
        <v>0</v>
      </c>
      <c r="M25" s="16"/>
      <c r="N25" s="16" t="n">
        <f aca="false">IFERROR(H25*M25,0)</f>
        <v>0</v>
      </c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 t="n">
        <f aca="false">IFERROR(F26*G26,0)</f>
        <v>0</v>
      </c>
      <c r="I26" s="9"/>
      <c r="J26" s="14" t="n">
        <f aca="false">IFERROR(I26/H26,0)</f>
        <v>0</v>
      </c>
      <c r="K26" s="9" t="str">
        <f aca="false">IFERROR(VLOOKUP(E26,Targets!B6:C11,2,FALSE()),"")</f>
        <v/>
      </c>
      <c r="L26" s="15" t="n">
        <f aca="false">IFERROR((J26-K26)/K26,0)</f>
        <v>0</v>
      </c>
      <c r="M26" s="16"/>
      <c r="N26" s="16" t="n">
        <f aca="false">IFERROR(H26*M26,0)</f>
        <v>0</v>
      </c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 t="n">
        <f aca="false">IFERROR(F27*G27,0)</f>
        <v>0</v>
      </c>
      <c r="I27" s="9"/>
      <c r="J27" s="14" t="n">
        <f aca="false">IFERROR(I27/H27,0)</f>
        <v>0</v>
      </c>
      <c r="K27" s="9" t="str">
        <f aca="false">IFERROR(VLOOKUP(E27,Targets!B6:C11,2,FALSE()),"")</f>
        <v/>
      </c>
      <c r="L27" s="15" t="n">
        <f aca="false">IFERROR((J27-K27)/K27,0)</f>
        <v>0</v>
      </c>
      <c r="M27" s="16"/>
      <c r="N27" s="16" t="n">
        <f aca="false">IFERROR(H27*M27,0)</f>
        <v>0</v>
      </c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  <c r="H28" s="9" t="n">
        <f aca="false">IFERROR(F28*G28,0)</f>
        <v>0</v>
      </c>
      <c r="I28" s="9"/>
      <c r="J28" s="14" t="n">
        <f aca="false">IFERROR(I28/H28,0)</f>
        <v>0</v>
      </c>
      <c r="K28" s="9" t="str">
        <f aca="false">IFERROR(VLOOKUP(E28,Targets!B6:C11,2,FALSE()),"")</f>
        <v/>
      </c>
      <c r="L28" s="15" t="n">
        <f aca="false">IFERROR((J28-K28)/K28,0)</f>
        <v>0</v>
      </c>
      <c r="M28" s="16"/>
      <c r="N28" s="16" t="n">
        <f aca="false">IFERROR(H28*M28,0)</f>
        <v>0</v>
      </c>
    </row>
    <row r="29" customFormat="false" ht="15" hidden="false" customHeight="false" outlineLevel="0" collapsed="false">
      <c r="B29" s="9"/>
      <c r="C29" s="9"/>
      <c r="D29" s="9"/>
      <c r="E29" s="9"/>
      <c r="F29" s="9"/>
      <c r="G29" s="9"/>
      <c r="H29" s="9" t="n">
        <f aca="false">IFERROR(F29*G29,0)</f>
        <v>0</v>
      </c>
      <c r="I29" s="9"/>
      <c r="J29" s="14" t="n">
        <f aca="false">IFERROR(I29/H29,0)</f>
        <v>0</v>
      </c>
      <c r="K29" s="9" t="str">
        <f aca="false">IFERROR(VLOOKUP(E29,Targets!B6:C11,2,FALSE()),"")</f>
        <v/>
      </c>
      <c r="L29" s="15" t="n">
        <f aca="false">IFERROR((J29-K29)/K29,0)</f>
        <v>0</v>
      </c>
      <c r="M29" s="16"/>
      <c r="N29" s="16" t="n">
        <f aca="false">IFERROR(H29*M29,0)</f>
        <v>0</v>
      </c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 t="n">
        <f aca="false">IFERROR(F30*G30,0)</f>
        <v>0</v>
      </c>
      <c r="I30" s="9"/>
      <c r="J30" s="14" t="n">
        <f aca="false">IFERROR(I30/H30,0)</f>
        <v>0</v>
      </c>
      <c r="K30" s="9" t="str">
        <f aca="false">IFERROR(VLOOKUP(E30,Targets!B6:C11,2,FALSE()),"")</f>
        <v/>
      </c>
      <c r="L30" s="15" t="n">
        <f aca="false">IFERROR((J30-K30)/K30,0)</f>
        <v>0</v>
      </c>
      <c r="M30" s="16"/>
      <c r="N30" s="16" t="n">
        <f aca="false">IFERROR(H30*M30,0)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7" min="4" style="0" width="16"/>
  </cols>
  <sheetData>
    <row r="2" customFormat="false" ht="22.05" hidden="false" customHeight="false" outlineLevel="0" collapsed="false">
      <c r="B2" s="1" t="s">
        <v>54</v>
      </c>
    </row>
    <row r="3" customFormat="false" ht="15" hidden="false" customHeight="false" outlineLevel="0" collapsed="false">
      <c r="B3" s="2" t="s">
        <v>55</v>
      </c>
    </row>
    <row r="5" customFormat="false" ht="15" hidden="false" customHeight="false" outlineLevel="0" collapsed="false">
      <c r="B5" s="17" t="s">
        <v>56</v>
      </c>
    </row>
    <row r="6" customFormat="false" ht="15" hidden="false" customHeight="false" outlineLevel="0" collapsed="false">
      <c r="B6" s="18" t="s">
        <v>37</v>
      </c>
      <c r="C6" s="18" t="s">
        <v>41</v>
      </c>
      <c r="D6" s="18" t="s">
        <v>42</v>
      </c>
      <c r="E6" s="19" t="s">
        <v>57</v>
      </c>
      <c r="F6" s="20" t="s">
        <v>58</v>
      </c>
      <c r="G6" s="21" t="s">
        <v>47</v>
      </c>
    </row>
    <row r="7" customFormat="false" ht="15" hidden="false" customHeight="false" outlineLevel="0" collapsed="false">
      <c r="B7" s="8" t="s">
        <v>49</v>
      </c>
      <c r="C7" s="22" t="n">
        <f aca="false">SUMIF('Daily Log'!C:C,B7,'Daily Log'!H:H)</f>
        <v>135</v>
      </c>
      <c r="D7" s="22" t="n">
        <f aca="false">SUMIF('Daily Log'!C:C,B7,'Daily Log'!I:I)</f>
        <v>7670</v>
      </c>
      <c r="E7" s="23" t="n">
        <f aca="false">IFERROR(D7/C7,0)</f>
        <v>56.8148148148148</v>
      </c>
      <c r="F7" s="24" t="n">
        <f aca="false">IFERROR(AVERAGEIF('Daily Log'!C:C,B7,'Daily Log'!L:L),0)</f>
        <v>-0.0644281644281644</v>
      </c>
      <c r="G7" s="25" t="n">
        <f aca="false">SUMIF('Daily Log'!C:C,B7,'Daily Log'!N:N)</f>
        <v>1957.5</v>
      </c>
    </row>
    <row r="8" customFormat="false" ht="15" hidden="false" customHeight="false" outlineLevel="0" collapsed="false">
      <c r="B8" s="8" t="s">
        <v>52</v>
      </c>
      <c r="C8" s="22" t="n">
        <f aca="false">SUMIF('Daily Log'!C:C,B8,'Daily Log'!H:H)</f>
        <v>90</v>
      </c>
      <c r="D8" s="22" t="n">
        <f aca="false">SUMIF('Daily Log'!C:C,B8,'Daily Log'!I:I)</f>
        <v>3770</v>
      </c>
      <c r="E8" s="23" t="n">
        <f aca="false">IFERROR(D8/C8,0)</f>
        <v>41.8888888888889</v>
      </c>
      <c r="F8" s="24" t="n">
        <f aca="false">IFERROR(AVERAGEIF('Daily Log'!C:C,B8,'Daily Log'!L:L),0)</f>
        <v>-0.113247863247863</v>
      </c>
      <c r="G8" s="25" t="n">
        <f aca="false">SUMIF('Daily Log'!C:C,B8,'Daily Log'!N:N)</f>
        <v>1305</v>
      </c>
    </row>
    <row r="9" customFormat="false" ht="15" hidden="false" customHeight="false" outlineLevel="0" collapsed="false">
      <c r="B9" s="8" t="s">
        <v>59</v>
      </c>
      <c r="C9" s="22" t="n">
        <f aca="false">SUMIF('Daily Log'!C:C,B9,'Daily Log'!H:H)</f>
        <v>0</v>
      </c>
      <c r="D9" s="22" t="n">
        <f aca="false">SUMIF('Daily Log'!C:C,B9,'Daily Log'!I:I)</f>
        <v>0</v>
      </c>
      <c r="E9" s="23" t="n">
        <f aca="false">IFERROR(D9/C9,0)</f>
        <v>0</v>
      </c>
      <c r="F9" s="24" t="n">
        <f aca="false">IFERROR(AVERAGEIF('Daily Log'!C:C,B9,'Daily Log'!L:L),0)</f>
        <v>0</v>
      </c>
      <c r="G9" s="25" t="n">
        <f aca="false">SUMIF('Daily Log'!C:C,B9,'Daily Log'!N:N)</f>
        <v>0</v>
      </c>
    </row>
    <row r="10" customFormat="false" ht="15" hidden="false" customHeight="false" outlineLevel="0" collapsed="false">
      <c r="B10" s="22"/>
      <c r="C10" s="22"/>
      <c r="D10" s="22"/>
      <c r="E10" s="23"/>
      <c r="F10" s="24"/>
      <c r="G10" s="25"/>
    </row>
    <row r="11" customFormat="false" ht="15" hidden="false" customHeight="false" outlineLevel="0" collapsed="false">
      <c r="B11" s="22"/>
      <c r="C11" s="22"/>
      <c r="D11" s="22"/>
      <c r="E11" s="23"/>
      <c r="F11" s="24"/>
      <c r="G11" s="25"/>
    </row>
    <row r="12" customFormat="false" ht="15" hidden="false" customHeight="false" outlineLevel="0" collapsed="false">
      <c r="B12" s="17" t="s">
        <v>60</v>
      </c>
      <c r="E12" s="26"/>
      <c r="F12" s="27"/>
      <c r="G12" s="28"/>
    </row>
    <row r="13" customFormat="false" ht="15" hidden="false" customHeight="false" outlineLevel="0" collapsed="false">
      <c r="B13" s="18" t="s">
        <v>19</v>
      </c>
      <c r="C13" s="18" t="s">
        <v>41</v>
      </c>
      <c r="D13" s="18" t="s">
        <v>42</v>
      </c>
      <c r="E13" s="19" t="s">
        <v>57</v>
      </c>
      <c r="F13" s="20" t="s">
        <v>58</v>
      </c>
      <c r="G13" s="28"/>
    </row>
    <row r="14" customFormat="false" ht="15" hidden="false" customHeight="false" outlineLevel="0" collapsed="false">
      <c r="B14" s="8" t="s">
        <v>22</v>
      </c>
      <c r="C14" s="22" t="n">
        <f aca="false">SUMIF('Daily Log'!E:E,B14,'Daily Log'!H:H)</f>
        <v>172.5</v>
      </c>
      <c r="D14" s="22" t="n">
        <f aca="false">SUMIF('Daily Log'!E:E,B14,'Daily Log'!I:I)</f>
        <v>10270</v>
      </c>
      <c r="E14" s="23" t="n">
        <f aca="false">IFERROR(D14/C14,0)</f>
        <v>59.536231884058</v>
      </c>
      <c r="F14" s="24" t="n">
        <f aca="false">IFERROR(AVERAGEIF('Daily Log'!E:E,B14,'Daily Log'!L:L),0)</f>
        <v>-0.0843711843711844</v>
      </c>
      <c r="G14" s="25"/>
    </row>
    <row r="15" customFormat="false" ht="15" hidden="false" customHeight="false" outlineLevel="0" collapsed="false">
      <c r="B15" s="8" t="s">
        <v>24</v>
      </c>
      <c r="C15" s="22" t="n">
        <f aca="false">SUMIF('Daily Log'!E:E,B15,'Daily Log'!H:H)</f>
        <v>0</v>
      </c>
      <c r="D15" s="22" t="n">
        <f aca="false">SUMIF('Daily Log'!E:E,B15,'Daily Log'!I:I)</f>
        <v>0</v>
      </c>
      <c r="E15" s="23" t="n">
        <f aca="false">IFERROR(D15/C15,0)</f>
        <v>0</v>
      </c>
      <c r="F15" s="24" t="n">
        <f aca="false">IFERROR(AVERAGEIF('Daily Log'!E:E,B15,'Daily Log'!L:L),0)</f>
        <v>0</v>
      </c>
      <c r="G15" s="25"/>
    </row>
    <row r="16" customFormat="false" ht="15" hidden="false" customHeight="false" outlineLevel="0" collapsed="false">
      <c r="B16" s="8" t="s">
        <v>26</v>
      </c>
      <c r="C16" s="22" t="n">
        <f aca="false">SUMIF('Daily Log'!E:E,B16,'Daily Log'!H:H)</f>
        <v>0</v>
      </c>
      <c r="D16" s="22" t="n">
        <f aca="false">SUMIF('Daily Log'!E:E,B16,'Daily Log'!I:I)</f>
        <v>0</v>
      </c>
      <c r="E16" s="23" t="n">
        <f aca="false">IFERROR(D16/C16,0)</f>
        <v>0</v>
      </c>
      <c r="F16" s="24" t="n">
        <f aca="false">IFERROR(AVERAGEIF('Daily Log'!E:E,B16,'Daily Log'!L:L),0)</f>
        <v>0</v>
      </c>
      <c r="G16" s="25"/>
    </row>
    <row r="17" customFormat="false" ht="15" hidden="false" customHeight="false" outlineLevel="0" collapsed="false">
      <c r="B17" s="8" t="s">
        <v>28</v>
      </c>
      <c r="C17" s="22" t="n">
        <f aca="false">SUMIF('Daily Log'!E:E,B17,'Daily Log'!H:H)</f>
        <v>22.5</v>
      </c>
      <c r="D17" s="22" t="n">
        <f aca="false">SUMIF('Daily Log'!E:E,B17,'Daily Log'!I:I)</f>
        <v>850</v>
      </c>
      <c r="E17" s="23" t="n">
        <f aca="false">IFERROR(D17/C17,0)</f>
        <v>37.7777777777778</v>
      </c>
      <c r="F17" s="24" t="n">
        <f aca="false">IFERROR(AVERAGEIF('Daily Log'!E:E,B17,'Daily Log'!L:L),0)</f>
        <v>-0.0555555555555555</v>
      </c>
      <c r="G17" s="25"/>
    </row>
    <row r="18" customFormat="false" ht="15" hidden="false" customHeight="false" outlineLevel="0" collapsed="false">
      <c r="B18" s="8" t="s">
        <v>30</v>
      </c>
      <c r="C18" s="22" t="n">
        <f aca="false">SUMIF('Daily Log'!E:E,B18,'Daily Log'!H:H)</f>
        <v>30</v>
      </c>
      <c r="D18" s="22" t="n">
        <f aca="false">SUMIF('Daily Log'!E:E,B18,'Daily Log'!I:I)</f>
        <v>320</v>
      </c>
      <c r="E18" s="23" t="n">
        <f aca="false">IFERROR(D18/C18,0)</f>
        <v>10.6666666666667</v>
      </c>
      <c r="F18" s="24" t="n">
        <f aca="false">IFERROR(AVERAGEIF('Daily Log'!E:E,B18,'Daily Log'!L:L),0)</f>
        <v>-0.111111111111111</v>
      </c>
      <c r="G18" s="25"/>
    </row>
    <row r="19" customFormat="false" ht="15" hidden="false" customHeight="false" outlineLevel="0" collapsed="false">
      <c r="B19" s="8" t="s">
        <v>32</v>
      </c>
      <c r="C19" s="22" t="n">
        <f aca="false">SUMIF('Daily Log'!E:E,B19,'Daily Log'!H:H)</f>
        <v>0</v>
      </c>
      <c r="D19" s="22" t="n">
        <f aca="false">SUMIF('Daily Log'!E:E,B19,'Daily Log'!I:I)</f>
        <v>0</v>
      </c>
      <c r="E19" s="23" t="n">
        <f aca="false">IFERROR(D19/C19,0)</f>
        <v>0</v>
      </c>
      <c r="F19" s="24" t="n">
        <f aca="false">IFERROR(AVERAGEIF('Daily Log'!E:E,B19,'Daily Log'!L:L),0)</f>
        <v>0</v>
      </c>
      <c r="G19" s="25"/>
    </row>
    <row r="20" customFormat="false" ht="15" hidden="false" customHeight="false" outlineLevel="0" collapsed="false">
      <c r="B20" s="22"/>
      <c r="C20" s="22"/>
      <c r="D20" s="22"/>
      <c r="E20" s="23"/>
      <c r="F20" s="24"/>
      <c r="G2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2026-05-26T14:16:59Z</dcterms:created>
  <dc:creator>openpyxl</dc:creator>
  <dc:description/>
  <dc:language>en-US</dc:language>
  <cp:lastModifiedBy/>
  <dcterms:modified xsi:type="dcterms:W3CDTF">2026-05-26T14:16:59Z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