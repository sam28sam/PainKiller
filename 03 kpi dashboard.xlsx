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rgets" sheetId="2" state="visible" r:id="rId4"/>
    <sheet name="Weekly Data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<sst xmlns="http://schemas.openxmlformats.org/spreadsheetml/2006/main" count="81" uniqueCount="72">
  <si>
    <t xml:space="preserve">Operational KPI Dashboard</t>
  </si>
  <si>
    <t xml:space="preserve">PainKiller Consulting — Operations Toolkit</t>
  </si>
  <si>
    <t xml:space="preserve">WHAT THIS TRACKS</t>
  </si>
  <si>
    <t xml:space="preserve">Five core operational KPIs that together give a complete view of warehouse performance:</t>
  </si>
  <si>
    <t xml:space="preserve">  •  Pick rate (units per hour)</t>
  </si>
  <si>
    <t xml:space="preserve">  •  Goods-in throughput (pallets per hour)</t>
  </si>
  <si>
    <t xml:space="preserve">  •  Labour cost per unit</t>
  </si>
  <si>
    <t xml:space="preserve">  •  Order accuracy (%)</t>
  </si>
  <si>
    <t xml:space="preserve">  •  Overtime as % of total hours</t>
  </si>
  <si>
    <t xml:space="preserve">Tracked weekly with trend indicators against target and against the previous week.</t>
  </si>
  <si>
    <t xml:space="preserve">HOW TO USE</t>
  </si>
  <si>
    <t xml:space="preserve">1.  Set your targets for each KPI on the Targets sheet. These should reflect what 'good' looks like for your operation.</t>
  </si>
  <si>
    <t xml:space="preserve">2.  Enter your actuals weekly on the Weekly Data sheet. One row per week.</t>
  </si>
  <si>
    <t xml:space="preserve">3.  The Dashboard sheet shows the latest week vs target and vs previous week, with trend lines.</t>
  </si>
  <si>
    <t xml:space="preserve">4.  The Trend Chart shows the last 13 weeks of each KPI for pattern recognition.</t>
  </si>
  <si>
    <t xml:space="preserve">WHAT TO LOOK FOR</t>
  </si>
  <si>
    <t xml:space="preserve">•  Pick rate flat for &gt;8 weeks despite training — process/layout issue, not people</t>
  </si>
  <si>
    <t xml:space="preserve">•  Goods-in throughput drops in same week each month — supplier delivery pattern problem</t>
  </si>
  <si>
    <t xml:space="preserve">•  Overtime % rises while pick rate flat — solving a process problem with hours</t>
  </si>
  <si>
    <t xml:space="preserve">•  Accuracy drops when throughput is up — checking process bypassed under pressure</t>
  </si>
  <si>
    <t xml:space="preserve">Copyright © PainKiller Consulting Ltd. For use within the licensee organisation.</t>
  </si>
  <si>
    <t xml:space="preserve">KPI Targets</t>
  </si>
  <si>
    <t xml:space="preserve">Set what 'good' looks like for your operation. These drive the variance calculations on the Dashboard.</t>
  </si>
  <si>
    <t xml:space="preserve">KPI</t>
  </si>
  <si>
    <t xml:space="preserve">Target</t>
  </si>
  <si>
    <t xml:space="preserve">Unit</t>
  </si>
  <si>
    <t xml:space="preserve">Notes</t>
  </si>
  <si>
    <t xml:space="preserve">Pick Rate</t>
  </si>
  <si>
    <t xml:space="preserve">units/hour</t>
  </si>
  <si>
    <t xml:space="preserve">Avg across all pickers and task types</t>
  </si>
  <si>
    <t xml:space="preserve">Goods-In Throughput</t>
  </si>
  <si>
    <t xml:space="preserve">pallets/hour</t>
  </si>
  <si>
    <t xml:space="preserve">Pallets received, checked, and putaway-ready per hour</t>
  </si>
  <si>
    <t xml:space="preserve">Labour Cost per Unit</t>
  </si>
  <si>
    <t xml:space="preserve">£/unit</t>
  </si>
  <si>
    <t xml:space="preserve">Total labour cost ÷ units shipped</t>
  </si>
  <si>
    <t xml:space="preserve">Order Accuracy</t>
  </si>
  <si>
    <t xml:space="preserve">% (decimal)</t>
  </si>
  <si>
    <t xml:space="preserve">1 - (errors / total orders)</t>
  </si>
  <si>
    <t xml:space="preserve">Overtime %</t>
  </si>
  <si>
    <t xml:space="preserve">Overtime hours ÷ total hours worked</t>
  </si>
  <si>
    <t xml:space="preserve">Weekly Data Entry</t>
  </si>
  <si>
    <t xml:space="preserve">One row per week. Most recent at the bottom.</t>
  </si>
  <si>
    <t xml:space="preserve">Week Starting</t>
  </si>
  <si>
    <t xml:space="preserve">Pick Rate (u/hr)</t>
  </si>
  <si>
    <t xml:space="preserve">Goods-In (pallets/hr)</t>
  </si>
  <si>
    <t xml:space="preserve">Labour £/unit</t>
  </si>
  <si>
    <t xml:space="preserve">Accuracy %</t>
  </si>
  <si>
    <t xml:space="preserve">2025-02-24</t>
  </si>
  <si>
    <t xml:space="preserve">2025-03-03</t>
  </si>
  <si>
    <t xml:space="preserve">2025-03-10</t>
  </si>
  <si>
    <t xml:space="preserve">2025-03-17</t>
  </si>
  <si>
    <t xml:space="preserve">2025-03-24</t>
  </si>
  <si>
    <t xml:space="preserve">2025-03-31</t>
  </si>
  <si>
    <t xml:space="preserve">2025-04-07</t>
  </si>
  <si>
    <t xml:space="preserve">2025-04-14</t>
  </si>
  <si>
    <t xml:space="preserve">2025-04-21</t>
  </si>
  <si>
    <t xml:space="preserve">2025-04-28</t>
  </si>
  <si>
    <t xml:space="preserve">2025-05-05</t>
  </si>
  <si>
    <t xml:space="preserve">2025-05-12</t>
  </si>
  <si>
    <t xml:space="preserve">2025-05-19</t>
  </si>
  <si>
    <t xml:space="preserve">Latest week vs Target and vs Previous Week. Updates as new data is added.</t>
  </si>
  <si>
    <t xml:space="preserve">Latest Week Performance</t>
  </si>
  <si>
    <t xml:space="preserve">This Week</t>
  </si>
  <si>
    <t xml:space="preserve">vs Target</t>
  </si>
  <si>
    <t xml:space="preserve">Previous Week</t>
  </si>
  <si>
    <t xml:space="preserve">vs Last Week</t>
  </si>
  <si>
    <t xml:space="preserve">Status</t>
  </si>
  <si>
    <t xml:space="preserve">Labour Cost / Unit</t>
  </si>
  <si>
    <t xml:space="preserve">Overtime</t>
  </si>
  <si>
    <t xml:space="preserve">13-Week Trend</t>
  </si>
  <si>
    <t xml:space="preserve">Pick Rate (units/hour) — last 13 weeks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</si>
</sst>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0.00"/>
    <numFmt numFmtId="166" formatCode="0.00%"/>
    <numFmt numFmtId="167" formatCode="0.0%"/>
    <numFmt numFmtId="168" formatCode="0.0"/>
    <numFmt numFmtId="169" formatCode="0.0%;\-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18"/>
      <name val="Arial"/>
      <family val="0"/>
      <charset val="1"/>
    </font>
    <font>
      <i val="true"/>
      <sz val="11"/>
      <color rgb="FF8A8A84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10"/>
      <color rgb="FF4A4A46"/>
      <name val="Arial"/>
      <family val="0"/>
      <charset val="1"/>
    </font>
    <font>
      <sz val="9"/>
      <color rgb="FF8A8A8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8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1A18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8F5E9"/>
        </patternFill>
      </fill>
    </dxf>
    <dxf>
      <fill>
        <patternFill>
          <bgColor rgb="FFF5EA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8F5E9"/>
      <rgbColor rgb="FFF5EA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A8A84"/>
      <rgbColor rgb="FF003366"/>
      <rgbColor rgb="FF339966"/>
      <rgbColor rgb="FF003300"/>
      <rgbColor rgb="FF1A1A18"/>
      <rgbColor rgb="FFC0392B"/>
      <rgbColor rgb="FF993366"/>
      <rgbColor rgb="FF333399"/>
      <rgbColor rgb="FF4A4A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Pick Rate — 13 week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Data'!C5</c:f>
              <c:strCache>
                <c:ptCount val="1"/>
                <c:pt idx="0">
                  <c:v>Pick Rate (u/hr)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Data'!$B$6:$B$18</c:f>
              <c:strCache>
                <c:ptCount val="13"/>
                <c:pt idx="0">
                  <c:v>2025-02-24</c:v>
                </c:pt>
                <c:pt idx="1">
                  <c:v>2025-03-03</c:v>
                </c:pt>
                <c:pt idx="2">
                  <c:v>2025-03-10</c:v>
                </c:pt>
                <c:pt idx="3">
                  <c:v>2025-03-17</c:v>
                </c:pt>
                <c:pt idx="4">
                  <c:v>2025-03-24</c:v>
                </c:pt>
                <c:pt idx="5">
                  <c:v>2025-03-31</c:v>
                </c:pt>
                <c:pt idx="6">
                  <c:v>2025-04-07</c:v>
                </c:pt>
                <c:pt idx="7">
                  <c:v>2025-04-14</c:v>
                </c:pt>
                <c:pt idx="8">
                  <c:v>2025-04-21</c:v>
                </c:pt>
                <c:pt idx="9">
                  <c:v>2025-04-28</c:v>
                </c:pt>
                <c:pt idx="10">
                  <c:v>2025-05-05</c:v>
                </c:pt>
                <c:pt idx="11">
                  <c:v>2025-05-12</c:v>
                </c:pt>
                <c:pt idx="12">
                  <c:v>2025-05-19</c:v>
                </c:pt>
              </c:strCache>
            </c:strRef>
          </c:cat>
          <c:val>
            <c:numRef>
              <c:f>'Weekly Data'!$C$6:$C$18</c:f>
              <c:numCache>
                <c:formatCode>General</c:formatCode>
                <c:ptCount val="13"/>
                <c:pt idx="0">
                  <c:v>58</c:v>
                </c:pt>
                <c:pt idx="1">
                  <c:v>60</c:v>
                </c:pt>
                <c:pt idx="2">
                  <c:v>61</c:v>
                </c:pt>
                <c:pt idx="3">
                  <c:v>59</c:v>
                </c:pt>
                <c:pt idx="4">
                  <c:v>62</c:v>
                </c:pt>
                <c:pt idx="5">
                  <c:v>63</c:v>
                </c:pt>
                <c:pt idx="6">
                  <c:v>64</c:v>
                </c:pt>
                <c:pt idx="7">
                  <c:v>62</c:v>
                </c:pt>
                <c:pt idx="8">
                  <c:v>65</c:v>
                </c:pt>
                <c:pt idx="9">
                  <c:v>66</c:v>
                </c:pt>
                <c:pt idx="10">
                  <c:v>64</c:v>
                </c:pt>
                <c:pt idx="11">
                  <c:v>67</c:v>
                </c:pt>
                <c:pt idx="12">
                  <c:v>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172038"/>
        <c:axId val="93102845"/>
      </c:lineChart>
      <c:catAx>
        <c:axId val="431720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02845"/>
        <c:crosses val="autoZero"/>
        <c:auto val="1"/>
        <c:lblAlgn val="ctr"/>
        <c:lblOffset val="100"/>
        <c:noMultiLvlLbl val="0"/>
      </c:catAx>
      <c:valAx>
        <c:axId val="93102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/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720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101160</xdr:rowOff>
    </xdr:from>
    <xdr:to>
      <xdr:col>7</xdr:col>
      <xdr:colOff>503640</xdr:colOff>
      <xdr:row>30</xdr:row>
      <xdr:rowOff>123120</xdr:rowOff>
    </xdr:to>
    <xdr:graphicFrame>
      <xdr:nvGraphicFramePr>
        <xdr:cNvPr id="0" name="Chart 1"/>
        <xdr:cNvGraphicFramePr/>
      </xdr:nvGraphicFramePr>
      <xdr:xfrm>
        <a:off x="141120" y="3048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7" customFormat="false" ht="15" hidden="false" customHeight="false" outlineLevel="0" collapsed="false">
      <c r="B27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50"/>
  </cols>
  <sheetData>
    <row r="2" customFormat="false" ht="22.05" hidden="false" customHeight="false" outlineLevel="0" collapsed="false">
      <c r="B2" s="1" t="s">
        <v>21</v>
      </c>
    </row>
    <row r="3" customFormat="false" ht="15" hidden="false" customHeight="false" outlineLevel="0" collapsed="false">
      <c r="B3" s="2" t="s">
        <v>22</v>
      </c>
    </row>
    <row r="5" customFormat="false" ht="15" hidden="false" customHeight="false" outlineLevel="0" collapsed="false">
      <c r="B5" s="6" t="s">
        <v>23</v>
      </c>
      <c r="C5" s="6" t="s">
        <v>24</v>
      </c>
      <c r="D5" s="6" t="s">
        <v>25</v>
      </c>
      <c r="E5" s="6" t="s">
        <v>26</v>
      </c>
    </row>
    <row r="6" customFormat="false" ht="15" hidden="false" customHeight="false" outlineLevel="0" collapsed="false">
      <c r="B6" s="7" t="s">
        <v>27</v>
      </c>
      <c r="C6" s="8" t="n">
        <v>65</v>
      </c>
      <c r="D6" s="9" t="s">
        <v>28</v>
      </c>
      <c r="E6" s="9" t="s">
        <v>29</v>
      </c>
    </row>
    <row r="7" customFormat="false" ht="15" hidden="false" customHeight="false" outlineLevel="0" collapsed="false">
      <c r="B7" s="7" t="s">
        <v>30</v>
      </c>
      <c r="C7" s="8" t="n">
        <v>12</v>
      </c>
      <c r="D7" s="9" t="s">
        <v>31</v>
      </c>
      <c r="E7" s="9" t="s">
        <v>32</v>
      </c>
    </row>
    <row r="8" customFormat="false" ht="15" hidden="false" customHeight="false" outlineLevel="0" collapsed="false">
      <c r="B8" s="7" t="s">
        <v>33</v>
      </c>
      <c r="C8" s="10" t="n">
        <v>0.42</v>
      </c>
      <c r="D8" s="9" t="s">
        <v>34</v>
      </c>
      <c r="E8" s="9" t="s">
        <v>35</v>
      </c>
    </row>
    <row r="9" customFormat="false" ht="15" hidden="false" customHeight="false" outlineLevel="0" collapsed="false">
      <c r="B9" s="7" t="s">
        <v>36</v>
      </c>
      <c r="C9" s="11" t="n">
        <v>0.995</v>
      </c>
      <c r="D9" s="9" t="s">
        <v>37</v>
      </c>
      <c r="E9" s="9" t="s">
        <v>38</v>
      </c>
    </row>
    <row r="10" customFormat="false" ht="15" hidden="false" customHeight="false" outlineLevel="0" collapsed="false">
      <c r="B10" s="7" t="s">
        <v>39</v>
      </c>
      <c r="C10" s="11" t="n">
        <v>0.05</v>
      </c>
      <c r="D10" s="9" t="s">
        <v>37</v>
      </c>
      <c r="E10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36"/>
  </cols>
  <sheetData>
    <row r="2" customFormat="false" ht="22.05" hidden="false" customHeight="false" outlineLevel="0" collapsed="false">
      <c r="B2" s="1" t="s">
        <v>41</v>
      </c>
    </row>
    <row r="3" customFormat="false" ht="15" hidden="false" customHeight="false" outlineLevel="0" collapsed="false">
      <c r="B3" s="2" t="s">
        <v>42</v>
      </c>
    </row>
    <row r="5" customFormat="false" ht="23.85" hidden="false" customHeight="false" outlineLevel="0" collapsed="false">
      <c r="B5" s="12" t="s">
        <v>43</v>
      </c>
      <c r="C5" s="12" t="s">
        <v>44</v>
      </c>
      <c r="D5" s="12" t="s">
        <v>45</v>
      </c>
      <c r="E5" s="12" t="s">
        <v>46</v>
      </c>
      <c r="F5" s="12" t="s">
        <v>47</v>
      </c>
      <c r="G5" s="12" t="s">
        <v>39</v>
      </c>
      <c r="H5" s="12" t="s">
        <v>26</v>
      </c>
    </row>
    <row r="6" customFormat="false" ht="15" hidden="false" customHeight="false" outlineLevel="0" collapsed="false">
      <c r="B6" s="9" t="s">
        <v>48</v>
      </c>
      <c r="C6" s="9" t="n">
        <v>58</v>
      </c>
      <c r="D6" s="9" t="n">
        <v>10.5</v>
      </c>
      <c r="E6" s="13" t="n">
        <v>0.46</v>
      </c>
      <c r="F6" s="14" t="n">
        <v>0.992</v>
      </c>
      <c r="G6" s="14" t="n">
        <v>0.08</v>
      </c>
      <c r="H6" s="15"/>
    </row>
    <row r="7" customFormat="false" ht="15" hidden="false" customHeight="false" outlineLevel="0" collapsed="false">
      <c r="B7" s="9" t="s">
        <v>49</v>
      </c>
      <c r="C7" s="9" t="n">
        <v>60</v>
      </c>
      <c r="D7" s="9" t="n">
        <v>11</v>
      </c>
      <c r="E7" s="13" t="n">
        <v>0.45</v>
      </c>
      <c r="F7" s="14" t="n">
        <v>0.991</v>
      </c>
      <c r="G7" s="14" t="n">
        <v>0.075</v>
      </c>
      <c r="H7" s="15"/>
    </row>
    <row r="8" customFormat="false" ht="15" hidden="false" customHeight="false" outlineLevel="0" collapsed="false">
      <c r="B8" s="9" t="s">
        <v>50</v>
      </c>
      <c r="C8" s="9" t="n">
        <v>61</v>
      </c>
      <c r="D8" s="9" t="n">
        <v>11.2</v>
      </c>
      <c r="E8" s="13" t="n">
        <v>0.44</v>
      </c>
      <c r="F8" s="14" t="n">
        <v>0.993</v>
      </c>
      <c r="G8" s="14" t="n">
        <v>0.07</v>
      </c>
      <c r="H8" s="15"/>
    </row>
    <row r="9" customFormat="false" ht="15" hidden="false" customHeight="false" outlineLevel="0" collapsed="false">
      <c r="B9" s="9" t="s">
        <v>51</v>
      </c>
      <c r="C9" s="9" t="n">
        <v>59</v>
      </c>
      <c r="D9" s="9" t="n">
        <v>10.8</v>
      </c>
      <c r="E9" s="13" t="n">
        <v>0.45</v>
      </c>
      <c r="F9" s="14" t="n">
        <v>0.99</v>
      </c>
      <c r="G9" s="14" t="n">
        <v>0.082</v>
      </c>
      <c r="H9" s="15"/>
    </row>
    <row r="10" customFormat="false" ht="15" hidden="false" customHeight="false" outlineLevel="0" collapsed="false">
      <c r="B10" s="9" t="s">
        <v>52</v>
      </c>
      <c r="C10" s="9" t="n">
        <v>62</v>
      </c>
      <c r="D10" s="9" t="n">
        <v>11.5</v>
      </c>
      <c r="E10" s="13" t="n">
        <v>0.43</v>
      </c>
      <c r="F10" s="14" t="n">
        <v>0.994</v>
      </c>
      <c r="G10" s="14" t="n">
        <v>0.065</v>
      </c>
      <c r="H10" s="15"/>
    </row>
    <row r="11" customFormat="false" ht="15" hidden="false" customHeight="false" outlineLevel="0" collapsed="false">
      <c r="B11" s="9" t="s">
        <v>53</v>
      </c>
      <c r="C11" s="9" t="n">
        <v>63</v>
      </c>
      <c r="D11" s="9" t="n">
        <v>11.7</v>
      </c>
      <c r="E11" s="13" t="n">
        <v>0.43</v>
      </c>
      <c r="F11" s="14" t="n">
        <v>0.995</v>
      </c>
      <c r="G11" s="14" t="n">
        <v>0.062</v>
      </c>
      <c r="H11" s="15"/>
    </row>
    <row r="12" customFormat="false" ht="15" hidden="false" customHeight="false" outlineLevel="0" collapsed="false">
      <c r="B12" s="9" t="s">
        <v>54</v>
      </c>
      <c r="C12" s="9" t="n">
        <v>64</v>
      </c>
      <c r="D12" s="9" t="n">
        <v>11.8</v>
      </c>
      <c r="E12" s="13" t="n">
        <v>0.42</v>
      </c>
      <c r="F12" s="14" t="n">
        <v>0.995</v>
      </c>
      <c r="G12" s="14" t="n">
        <v>0.058</v>
      </c>
      <c r="H12" s="15"/>
    </row>
    <row r="13" customFormat="false" ht="15" hidden="false" customHeight="false" outlineLevel="0" collapsed="false">
      <c r="B13" s="9" t="s">
        <v>55</v>
      </c>
      <c r="C13" s="9" t="n">
        <v>62</v>
      </c>
      <c r="D13" s="9" t="n">
        <v>11.4</v>
      </c>
      <c r="E13" s="13" t="n">
        <v>0.43</v>
      </c>
      <c r="F13" s="14" t="n">
        <v>0.993</v>
      </c>
      <c r="G13" s="14" t="n">
        <v>0.07</v>
      </c>
      <c r="H13" s="15"/>
    </row>
    <row r="14" customFormat="false" ht="15" hidden="false" customHeight="false" outlineLevel="0" collapsed="false">
      <c r="B14" s="9" t="s">
        <v>56</v>
      </c>
      <c r="C14" s="9" t="n">
        <v>65</v>
      </c>
      <c r="D14" s="9" t="n">
        <v>12</v>
      </c>
      <c r="E14" s="13" t="n">
        <v>0.42</v>
      </c>
      <c r="F14" s="14" t="n">
        <v>0.996</v>
      </c>
      <c r="G14" s="14" t="n">
        <v>0.05</v>
      </c>
      <c r="H14" s="15"/>
    </row>
    <row r="15" customFormat="false" ht="15" hidden="false" customHeight="false" outlineLevel="0" collapsed="false">
      <c r="B15" s="9" t="s">
        <v>57</v>
      </c>
      <c r="C15" s="9" t="n">
        <v>66</v>
      </c>
      <c r="D15" s="9" t="n">
        <v>12.2</v>
      </c>
      <c r="E15" s="13" t="n">
        <v>0.41</v>
      </c>
      <c r="F15" s="14" t="n">
        <v>0.996</v>
      </c>
      <c r="G15" s="14" t="n">
        <v>0.048</v>
      </c>
      <c r="H15" s="15"/>
    </row>
    <row r="16" customFormat="false" ht="15" hidden="false" customHeight="false" outlineLevel="0" collapsed="false">
      <c r="B16" s="9" t="s">
        <v>58</v>
      </c>
      <c r="C16" s="9" t="n">
        <v>64</v>
      </c>
      <c r="D16" s="9" t="n">
        <v>11.9</v>
      </c>
      <c r="E16" s="13" t="n">
        <v>0.42</v>
      </c>
      <c r="F16" s="14" t="n">
        <v>0.995</v>
      </c>
      <c r="G16" s="14" t="n">
        <v>0.055</v>
      </c>
      <c r="H16" s="15"/>
    </row>
    <row r="17" customFormat="false" ht="15" hidden="false" customHeight="false" outlineLevel="0" collapsed="false">
      <c r="B17" s="9" t="s">
        <v>59</v>
      </c>
      <c r="C17" s="9" t="n">
        <v>67</v>
      </c>
      <c r="D17" s="9" t="n">
        <v>12.3</v>
      </c>
      <c r="E17" s="13" t="n">
        <v>0.41</v>
      </c>
      <c r="F17" s="14" t="n">
        <v>0.997</v>
      </c>
      <c r="G17" s="14" t="n">
        <v>0.045</v>
      </c>
      <c r="H17" s="15"/>
    </row>
    <row r="18" customFormat="false" ht="15" hidden="false" customHeight="false" outlineLevel="0" collapsed="false">
      <c r="B18" s="9" t="s">
        <v>60</v>
      </c>
      <c r="C18" s="9" t="n">
        <v>68</v>
      </c>
      <c r="D18" s="9" t="n">
        <v>12.5</v>
      </c>
      <c r="E18" s="13" t="n">
        <v>0.4</v>
      </c>
      <c r="F18" s="14" t="n">
        <v>0.997</v>
      </c>
      <c r="G18" s="14" t="n">
        <v>0.042</v>
      </c>
      <c r="H18" s="15"/>
    </row>
    <row r="19" customFormat="false" ht="15" hidden="false" customHeight="false" outlineLevel="0" collapsed="false">
      <c r="B19" s="15"/>
      <c r="C19" s="15"/>
      <c r="D19" s="15"/>
      <c r="E19" s="16"/>
      <c r="F19" s="17"/>
      <c r="G19" s="17"/>
      <c r="H19" s="15"/>
    </row>
    <row r="20" customFormat="false" ht="15" hidden="false" customHeight="false" outlineLevel="0" collapsed="false">
      <c r="B20" s="15"/>
      <c r="C20" s="15"/>
      <c r="D20" s="15"/>
      <c r="E20" s="16"/>
      <c r="F20" s="17"/>
      <c r="G20" s="17"/>
      <c r="H20" s="15"/>
    </row>
    <row r="21" customFormat="false" ht="15" hidden="false" customHeight="false" outlineLevel="0" collapsed="false">
      <c r="B21" s="15"/>
      <c r="C21" s="15"/>
      <c r="D21" s="15"/>
      <c r="E21" s="16"/>
      <c r="F21" s="17"/>
      <c r="G21" s="17"/>
      <c r="H21" s="15"/>
    </row>
    <row r="22" customFormat="false" ht="15" hidden="false" customHeight="false" outlineLevel="0" collapsed="false">
      <c r="B22" s="15"/>
      <c r="C22" s="15"/>
      <c r="D22" s="15"/>
      <c r="E22" s="16"/>
      <c r="F22" s="17"/>
      <c r="G22" s="17"/>
      <c r="H22" s="15"/>
    </row>
    <row r="23" customFormat="false" ht="15" hidden="false" customHeight="false" outlineLevel="0" collapsed="false">
      <c r="B23" s="15"/>
      <c r="C23" s="15"/>
      <c r="D23" s="15"/>
      <c r="E23" s="16"/>
      <c r="F23" s="17"/>
      <c r="G23" s="17"/>
      <c r="H23" s="15"/>
    </row>
    <row r="24" customFormat="false" ht="15" hidden="false" customHeight="false" outlineLevel="0" collapsed="false">
      <c r="B24" s="15"/>
      <c r="C24" s="15"/>
      <c r="D24" s="15"/>
      <c r="E24" s="16"/>
      <c r="F24" s="17"/>
      <c r="G24" s="17"/>
      <c r="H24" s="15"/>
    </row>
    <row r="25" customFormat="false" ht="15" hidden="false" customHeight="false" outlineLevel="0" collapsed="false">
      <c r="B25" s="15"/>
      <c r="C25" s="15"/>
      <c r="D25" s="15"/>
      <c r="E25" s="16"/>
      <c r="F25" s="17"/>
      <c r="G25" s="17"/>
      <c r="H25" s="15"/>
    </row>
    <row r="26" customFormat="false" ht="15" hidden="false" customHeight="false" outlineLevel="0" collapsed="false">
      <c r="B26" s="15"/>
      <c r="C26" s="15"/>
      <c r="D26" s="15"/>
      <c r="E26" s="16"/>
      <c r="F26" s="17"/>
      <c r="G26" s="17"/>
      <c r="H26" s="15"/>
    </row>
    <row r="27" customFormat="false" ht="15" hidden="false" customHeight="false" outlineLevel="0" collapsed="false">
      <c r="B27" s="15"/>
      <c r="C27" s="15"/>
      <c r="D27" s="15"/>
      <c r="E27" s="16"/>
      <c r="F27" s="17"/>
      <c r="G27" s="17"/>
      <c r="H27" s="15"/>
    </row>
    <row r="28" customFormat="false" ht="15" hidden="false" customHeight="false" outlineLevel="0" collapsed="false">
      <c r="B28" s="15"/>
      <c r="C28" s="15"/>
      <c r="D28" s="15"/>
      <c r="E28" s="16"/>
      <c r="F28" s="17"/>
      <c r="G28" s="17"/>
      <c r="H28" s="15"/>
    </row>
    <row r="29" customFormat="false" ht="15" hidden="false" customHeight="false" outlineLevel="0" collapsed="false">
      <c r="B29" s="15"/>
      <c r="C29" s="15"/>
      <c r="D29" s="15"/>
      <c r="E29" s="16"/>
      <c r="F29" s="17"/>
      <c r="G29" s="17"/>
      <c r="H29" s="15"/>
    </row>
    <row r="30" customFormat="false" ht="15" hidden="false" customHeight="false" outlineLevel="0" collapsed="false">
      <c r="B30" s="15"/>
      <c r="C30" s="15"/>
      <c r="D30" s="15"/>
      <c r="E30" s="16"/>
      <c r="F30" s="17"/>
      <c r="G30" s="17"/>
      <c r="H30" s="15"/>
    </row>
    <row r="31" customFormat="false" ht="15" hidden="false" customHeight="false" outlineLevel="0" collapsed="false">
      <c r="B31" s="15"/>
      <c r="C31" s="15"/>
      <c r="D31" s="15"/>
      <c r="E31" s="16"/>
      <c r="F31" s="17"/>
      <c r="G31" s="17"/>
      <c r="H31" s="15"/>
    </row>
    <row r="32" customFormat="false" ht="15" hidden="false" customHeight="false" outlineLevel="0" collapsed="false">
      <c r="B32" s="15"/>
      <c r="C32" s="15"/>
      <c r="D32" s="15"/>
      <c r="E32" s="16"/>
      <c r="F32" s="17"/>
      <c r="G32" s="17"/>
      <c r="H32" s="15"/>
    </row>
    <row r="33" customFormat="false" ht="15" hidden="false" customHeight="false" outlineLevel="0" collapsed="false">
      <c r="B33" s="15"/>
      <c r="C33" s="15"/>
      <c r="D33" s="15"/>
      <c r="E33" s="16"/>
      <c r="F33" s="17"/>
      <c r="G33" s="17"/>
      <c r="H3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5" min="3" style="0" width="13"/>
    <col collapsed="false" customWidth="true" hidden="false" outlineLevel="0" max="8" min="6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61</v>
      </c>
    </row>
    <row r="5" customFormat="false" ht="15" hidden="false" customHeight="false" outlineLevel="0" collapsed="false">
      <c r="B5" s="18" t="s">
        <v>62</v>
      </c>
    </row>
    <row r="6" customFormat="false" ht="15" hidden="false" customHeight="false" outlineLevel="0" collapsed="false">
      <c r="B6" s="6" t="s">
        <v>23</v>
      </c>
      <c r="C6" s="6" t="s">
        <v>63</v>
      </c>
      <c r="D6" s="6" t="s">
        <v>24</v>
      </c>
      <c r="E6" s="6" t="s">
        <v>64</v>
      </c>
      <c r="F6" s="6" t="s">
        <v>65</v>
      </c>
      <c r="G6" s="6" t="s">
        <v>66</v>
      </c>
      <c r="H6" s="6" t="s">
        <v>67</v>
      </c>
    </row>
    <row r="7" customFormat="false" ht="15" hidden="false" customHeight="false" outlineLevel="0" collapsed="false">
      <c r="B7" s="9" t="s">
        <v>27</v>
      </c>
      <c r="C7" s="19" t="n">
        <f aca="false">LOOKUP(2,1/('Weekly Data'!C6:C33&lt;&gt;""),'Weekly Data'!C6:C33)</f>
        <v>68</v>
      </c>
      <c r="D7" s="19" t="n">
        <f aca="false">Targets!C6</f>
        <v>65</v>
      </c>
      <c r="E7" s="20" t="n">
        <f aca="false">IFERROR((C7-D7)/D7,0)</f>
        <v>0.0461538461538462</v>
      </c>
      <c r="F7" s="19" t="n">
        <f aca="false">INDEX('Weekly Data'!C6:C33,MATCH(2,1/('Weekly Data'!C6:C33&lt;&gt;""))-1)</f>
        <v>67</v>
      </c>
      <c r="G7" s="20" t="n">
        <f aca="false">IFERROR((C7-F7)/F7,0)</f>
        <v>0.0149253731343284</v>
      </c>
      <c r="H7" s="9" t="str">
        <f aca="false">IF(C7&gt;=D7,"✓ On target","✗ Off target")</f>
        <v>✓ On target</v>
      </c>
    </row>
    <row r="8" customFormat="false" ht="15" hidden="false" customHeight="false" outlineLevel="0" collapsed="false">
      <c r="B8" s="9" t="s">
        <v>30</v>
      </c>
      <c r="C8" s="19" t="n">
        <f aca="false">LOOKUP(2,1/('Weekly Data'!D6:D33&lt;&gt;""),'Weekly Data'!D6:D33)</f>
        <v>12.5</v>
      </c>
      <c r="D8" s="19" t="n">
        <f aca="false">Targets!C7</f>
        <v>12</v>
      </c>
      <c r="E8" s="20" t="n">
        <f aca="false">IFERROR((C8-D8)/D8,0)</f>
        <v>0.0416666666666667</v>
      </c>
      <c r="F8" s="19" t="n">
        <f aca="false">INDEX('Weekly Data'!D6:D33,MATCH(2,1/('Weekly Data'!D6:D33&lt;&gt;""))-1)</f>
        <v>12.3</v>
      </c>
      <c r="G8" s="20" t="n">
        <f aca="false">IFERROR((C8-F8)/F8,0)</f>
        <v>0.016260162601626</v>
      </c>
      <c r="H8" s="9" t="str">
        <f aca="false">IF(C8&gt;=D8,"✓ On target","✗ Off target")</f>
        <v>✓ On target</v>
      </c>
    </row>
    <row r="9" customFormat="false" ht="15" hidden="false" customHeight="false" outlineLevel="0" collapsed="false">
      <c r="B9" s="9" t="s">
        <v>68</v>
      </c>
      <c r="C9" s="16" t="n">
        <f aca="false">LOOKUP(2,1/('Weekly Data'!E6:E33&lt;&gt;""),'Weekly Data'!E6:E33)</f>
        <v>0.4</v>
      </c>
      <c r="D9" s="16" t="n">
        <f aca="false">Targets!C8</f>
        <v>0.42</v>
      </c>
      <c r="E9" s="20" t="n">
        <f aca="false">IFERROR((C9-D9)/D9,0)</f>
        <v>-0.0476190476190475</v>
      </c>
      <c r="F9" s="16" t="n">
        <f aca="false">INDEX('Weekly Data'!E6:E33,MATCH(2,1/('Weekly Data'!E6:E33&lt;&gt;""))-1)</f>
        <v>0.41</v>
      </c>
      <c r="G9" s="20" t="n">
        <f aca="false">IFERROR((C9-F9)/F9,0)</f>
        <v>-0.0243902439024389</v>
      </c>
      <c r="H9" s="9" t="str">
        <f aca="false">IF(C9&lt;=D9,"✓ On target","✗ Off target")</f>
        <v>✓ On target</v>
      </c>
    </row>
    <row r="10" customFormat="false" ht="15" hidden="false" customHeight="false" outlineLevel="0" collapsed="false">
      <c r="B10" s="9" t="s">
        <v>36</v>
      </c>
      <c r="C10" s="17" t="n">
        <f aca="false">LOOKUP(2,1/('Weekly Data'!F6:F33&lt;&gt;""),'Weekly Data'!F6:F33)</f>
        <v>0.997</v>
      </c>
      <c r="D10" s="17" t="n">
        <f aca="false">Targets!C9</f>
        <v>0.995</v>
      </c>
      <c r="E10" s="20" t="n">
        <f aca="false">IFERROR((C10-D10)/D10,0)</f>
        <v>0.00201005025125628</v>
      </c>
      <c r="F10" s="17" t="n">
        <f aca="false">INDEX('Weekly Data'!F6:F33,MATCH(2,1/('Weekly Data'!F6:F33&lt;&gt;""))-1)</f>
        <v>0.997</v>
      </c>
      <c r="G10" s="20" t="n">
        <f aca="false">IFERROR((C10-F10)/F10,0)</f>
        <v>0</v>
      </c>
      <c r="H10" s="9" t="str">
        <f aca="false">IF(C10&gt;=D10,"✓ On target","✗ Off target")</f>
        <v>✓ On target</v>
      </c>
    </row>
    <row r="11" customFormat="false" ht="15" hidden="false" customHeight="false" outlineLevel="0" collapsed="false">
      <c r="B11" s="9" t="s">
        <v>69</v>
      </c>
      <c r="C11" s="17" t="n">
        <f aca="false">LOOKUP(2,1/('Weekly Data'!G6:G33&lt;&gt;""),'Weekly Data'!G6:G33)</f>
        <v>0.042</v>
      </c>
      <c r="D11" s="17" t="n">
        <f aca="false">Targets!C10</f>
        <v>0.05</v>
      </c>
      <c r="E11" s="20" t="n">
        <f aca="false">IFERROR((C11-D11)/D11,0)</f>
        <v>-0.16</v>
      </c>
      <c r="F11" s="17" t="n">
        <f aca="false">INDEX('Weekly Data'!G6:G33,MATCH(2,1/('Weekly Data'!G6:G33&lt;&gt;""))-1)</f>
        <v>0.045</v>
      </c>
      <c r="G11" s="20" t="n">
        <f aca="false">IFERROR((C11-F11)/F11,0)</f>
        <v>-0.0666666666666666</v>
      </c>
      <c r="H11" s="9" t="str">
        <f aca="false">IF(C11&lt;=D11,"✓ On target","✗ Off target")</f>
        <v>✓ On target</v>
      </c>
    </row>
    <row r="14" customFormat="false" ht="15" hidden="false" customHeight="false" outlineLevel="0" collapsed="false">
      <c r="B14" s="18" t="s">
        <v>70</v>
      </c>
    </row>
    <row r="15" customFormat="false" ht="15" hidden="false" customHeight="false" outlineLevel="0" collapsed="false">
      <c r="B15" s="21" t="s">
        <v>71</v>
      </c>
    </row>
  </sheetData>
  <conditionalFormatting sqref="I7:I11">
    <cfRule type="expression" priority="2" aboveAverage="0" equalAverage="0" bottom="0" percent="0" rank="0" text="" dxfId="0">
      <formula>LEFT(I7,1)="✓"</formula>
    </cfRule>
    <cfRule type="expression" priority="3" aboveAverage="0" equalAverage="0" bottom="0" percent="0" rank="0" text="" dxfId="1">
      <formula>LEFT(I7,1)="✗"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2026-05-26T14:19:17Z</dcterms:created>
  <dc:creator>openpyxl</dc:creator>
  <dc:description/>
  <dc:language>en-US</dc:language>
  <cp:lastModifiedBy/>
  <dcterms:modified xsi:type="dcterms:W3CDTF">2026-05-26T14:19:19Z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